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PYTHON/dD_DEI_Rebuild/data/"/>
    </mc:Choice>
  </mc:AlternateContent>
  <xr:revisionPtr revIDLastSave="0" documentId="13_ncr:1_{32D160ED-4E24-0542-977A-ED05ED1720E8}" xr6:coauthVersionLast="47" xr6:coauthVersionMax="47" xr10:uidLastSave="{00000000-0000-0000-0000-000000000000}"/>
  <bookViews>
    <workbookView xWindow="0" yWindow="740" windowWidth="34560" windowHeight="21600" xr2:uid="{0040C28B-0988-1745-BAF2-D7AC8784BC27}"/>
  </bookViews>
  <sheets>
    <sheet name="Sheet1" sheetId="1" r:id="rId1"/>
  </sheets>
  <definedNames>
    <definedName name="_xlchart.v1.0" hidden="1">Sheet1!$A$3:$A$21</definedName>
    <definedName name="_xlchart.v1.1" hidden="1">Sheet1!$B$3:$B$21</definedName>
    <definedName name="_xlchart.v1.10" hidden="1">Sheet1!$B$3:$B$21</definedName>
    <definedName name="_xlchart.v1.11" hidden="1">Sheet1!$E$3:$E$21</definedName>
    <definedName name="_xlchart.v1.12" hidden="1">Sheet1!$H$3:$H$21</definedName>
    <definedName name="_xlchart.v1.13" hidden="1">Sheet1!$K$3:$K$21</definedName>
    <definedName name="_xlchart.v1.14" hidden="1">Sheet1!$N$3:$N$21</definedName>
    <definedName name="_xlchart.v1.15" hidden="1">Sheet1!$O$3:$O$21</definedName>
    <definedName name="_xlchart.v1.16" hidden="1">Sheet1!$P$3:$P$21</definedName>
    <definedName name="_xlchart.v1.17" hidden="1">Sheet1!$Q$3:$Q$21</definedName>
    <definedName name="_xlchart.v1.18" hidden="1">Sheet1!$A$3:$A$21</definedName>
    <definedName name="_xlchart.v1.19" hidden="1">Sheet1!$B$3:$B$21</definedName>
    <definedName name="_xlchart.v1.2" hidden="1">Sheet1!$E$3:$E$21</definedName>
    <definedName name="_xlchart.v1.20" hidden="1">Sheet1!$E$3:$E$21</definedName>
    <definedName name="_xlchart.v1.21" hidden="1">Sheet1!$H$3:$H$21</definedName>
    <definedName name="_xlchart.v1.22" hidden="1">Sheet1!$K$3:$K$21</definedName>
    <definedName name="_xlchart.v1.23" hidden="1">Sheet1!$N$3:$N$21</definedName>
    <definedName name="_xlchart.v1.24" hidden="1">Sheet1!$O$3:$O$21</definedName>
    <definedName name="_xlchart.v1.25" hidden="1">Sheet1!$P$3:$P$21</definedName>
    <definedName name="_xlchart.v1.26" hidden="1">Sheet1!$Q$3:$Q$21</definedName>
    <definedName name="_xlchart.v1.3" hidden="1">Sheet1!$H$3:$H$21</definedName>
    <definedName name="_xlchart.v1.4" hidden="1">Sheet1!$K$3:$K$21</definedName>
    <definedName name="_xlchart.v1.5" hidden="1">Sheet1!$N$3:$N$21</definedName>
    <definedName name="_xlchart.v1.6" hidden="1">Sheet1!$O$3:$O$21</definedName>
    <definedName name="_xlchart.v1.7" hidden="1">Sheet1!$P$3:$P$21</definedName>
    <definedName name="_xlchart.v1.8" hidden="1">Sheet1!$Q$3:$Q$21</definedName>
    <definedName name="_xlchart.v1.9" hidden="1">Sheet1!$A$3:$A$21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F25" i="1"/>
  <c r="E26" i="1"/>
  <c r="F26" i="1"/>
  <c r="F29" i="1" s="1"/>
  <c r="E27" i="1"/>
  <c r="E31" i="1" s="1"/>
  <c r="F27" i="1"/>
  <c r="E28" i="1"/>
  <c r="E30" i="1" s="1"/>
  <c r="F28" i="1"/>
  <c r="F30" i="1" s="1"/>
  <c r="E29" i="1"/>
  <c r="D28" i="1"/>
  <c r="D30" i="1" s="1"/>
  <c r="D29" i="1"/>
  <c r="D27" i="1"/>
  <c r="D26" i="1"/>
  <c r="D25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F31" i="1" l="1"/>
  <c r="D31" i="1"/>
</calcChain>
</file>

<file path=xl/sharedStrings.xml><?xml version="1.0" encoding="utf-8"?>
<sst xmlns="http://schemas.openxmlformats.org/spreadsheetml/2006/main" count="29" uniqueCount="16">
  <si>
    <t>All Data</t>
  </si>
  <si>
    <t>No INSTAAR</t>
  </si>
  <si>
    <t>No INSTAAR or BUDS</t>
  </si>
  <si>
    <t xml:space="preserve">Year </t>
  </si>
  <si>
    <t xml:space="preserve">All data </t>
  </si>
  <si>
    <t>PN</t>
  </si>
  <si>
    <t>TN</t>
  </si>
  <si>
    <t>PS</t>
  </si>
  <si>
    <t>TS</t>
  </si>
  <si>
    <t xml:space="preserve">No INSTAAR </t>
  </si>
  <si>
    <t>NH</t>
  </si>
  <si>
    <t>SH</t>
  </si>
  <si>
    <t xml:space="preserve">Global </t>
  </si>
  <si>
    <t>NO INSTAAR or BUDS</t>
  </si>
  <si>
    <t>Region</t>
  </si>
  <si>
    <t>2023 - 2005/6/7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</si>
</sst>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Polar North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All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Sheet1!$A$3:$A$21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Sheet1!$B$3:$B$21</c:f>
              <c:numCache>
                <c:formatCode>General</c:formatCode>
                <c:ptCount val="19"/>
                <c:pt idx="0">
                  <c:v>-85.112700000000004</c:v>
                </c:pt>
                <c:pt idx="1">
                  <c:v>-83.807699999999997</c:v>
                </c:pt>
                <c:pt idx="2">
                  <c:v>-83.858800000000002</c:v>
                </c:pt>
                <c:pt idx="3">
                  <c:v>-84.704899999999995</c:v>
                </c:pt>
                <c:pt idx="4">
                  <c:v>-83.578599999999994</c:v>
                </c:pt>
                <c:pt idx="5">
                  <c:v>-85.537300000000002</c:v>
                </c:pt>
                <c:pt idx="6">
                  <c:v>-85.101900000000001</c:v>
                </c:pt>
                <c:pt idx="7">
                  <c:v>-85.983999999999995</c:v>
                </c:pt>
                <c:pt idx="8">
                  <c:v>-84.557599999999994</c:v>
                </c:pt>
                <c:pt idx="9">
                  <c:v>-85.799599999999998</c:v>
                </c:pt>
                <c:pt idx="10">
                  <c:v>-86.730999999999995</c:v>
                </c:pt>
                <c:pt idx="11">
                  <c:v>-87.298299999999998</c:v>
                </c:pt>
                <c:pt idx="12">
                  <c:v>-87.732299999999995</c:v>
                </c:pt>
                <c:pt idx="13">
                  <c:v>-87.209199999999996</c:v>
                </c:pt>
                <c:pt idx="14">
                  <c:v>-87.959100000000007</c:v>
                </c:pt>
                <c:pt idx="15">
                  <c:v>-89.220299999999995</c:v>
                </c:pt>
                <c:pt idx="16">
                  <c:v>-90.818899999999999</c:v>
                </c:pt>
                <c:pt idx="17">
                  <c:v>-91.583399999999997</c:v>
                </c:pt>
                <c:pt idx="18">
                  <c:v>-92.023499999999999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EC-0B4B-8A14-EEFAC53397E5}"/>
            </c:ext>
          </c:extLst>
        </c:ser>
        <c:ser>
          <c:idx val="1"/>
          <c:order val="1"/>
          <c:tx>
            <c:v>No INSTAAR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Sheet1!$A$3:$A$21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Sheet1!$C$3:$C$21</c:f>
              <c:numCache>
                <c:formatCode>General</c:formatCode>
                <c:ptCount val="19"/>
                <c:pt idx="0">
                  <c:v>-84.802300000000002</c:v>
                </c:pt>
                <c:pt idx="1">
                  <c:v>-83.525599999999997</c:v>
                </c:pt>
                <c:pt idx="2">
                  <c:v>-86.265100000000004</c:v>
                </c:pt>
                <c:pt idx="3">
                  <c:v>-84.851200000000006</c:v>
                </c:pt>
                <c:pt idx="4">
                  <c:v>-86.904799999999994</c:v>
                </c:pt>
                <c:pt idx="5">
                  <c:v>-85.536900000000003</c:v>
                </c:pt>
                <c:pt idx="6">
                  <c:v>-85.148399999999995</c:v>
                </c:pt>
                <c:pt idx="7">
                  <c:v>-85.916899999999998</c:v>
                </c:pt>
                <c:pt idx="8">
                  <c:v>-84.6387</c:v>
                </c:pt>
                <c:pt idx="9">
                  <c:v>-85.818700000000007</c:v>
                </c:pt>
                <c:pt idx="10">
                  <c:v>-86.724999999999994</c:v>
                </c:pt>
                <c:pt idx="11">
                  <c:v>-87.310599999999994</c:v>
                </c:pt>
                <c:pt idx="12">
                  <c:v>-87.772199999999998</c:v>
                </c:pt>
                <c:pt idx="13">
                  <c:v>-87.286900000000003</c:v>
                </c:pt>
                <c:pt idx="14">
                  <c:v>-87.995000000000005</c:v>
                </c:pt>
                <c:pt idx="15">
                  <c:v>-89.230099999999993</c:v>
                </c:pt>
                <c:pt idx="16">
                  <c:v>-90.8232</c:v>
                </c:pt>
                <c:pt idx="17">
                  <c:v>-91.556700000000006</c:v>
                </c:pt>
                <c:pt idx="18">
                  <c:v>-91.993899999999996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EC-0B4B-8A14-EEFAC53397E5}"/>
            </c:ext>
          </c:extLst>
        </c:ser>
        <c:ser>
          <c:idx val="2"/>
          <c:order val="2"/>
          <c:tx>
            <c:v>No INSTAAR or BUDS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Sheet1!$A$3:$A$21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Sheet1!$D$3:$D$21</c:f>
              <c:numCache>
                <c:formatCode>General</c:formatCode>
                <c:ptCount val="19"/>
                <c:pt idx="0">
                  <c:v>-84.478800000000007</c:v>
                </c:pt>
                <c:pt idx="1">
                  <c:v>-83.152900000000002</c:v>
                </c:pt>
                <c:pt idx="2">
                  <c:v>-85.869299999999996</c:v>
                </c:pt>
                <c:pt idx="3">
                  <c:v>-84.504099999999994</c:v>
                </c:pt>
                <c:pt idx="4">
                  <c:v>-86.565899999999999</c:v>
                </c:pt>
                <c:pt idx="5">
                  <c:v>-85.31</c:v>
                </c:pt>
                <c:pt idx="6">
                  <c:v>-84.995099999999994</c:v>
                </c:pt>
                <c:pt idx="7">
                  <c:v>-85.796899999999994</c:v>
                </c:pt>
                <c:pt idx="8">
                  <c:v>-84.561000000000007</c:v>
                </c:pt>
                <c:pt idx="9">
                  <c:v>-85.771199999999993</c:v>
                </c:pt>
                <c:pt idx="10">
                  <c:v>-86.7102</c:v>
                </c:pt>
                <c:pt idx="11">
                  <c:v>-87.239699999999999</c:v>
                </c:pt>
                <c:pt idx="12">
                  <c:v>-87.7029</c:v>
                </c:pt>
                <c:pt idx="13">
                  <c:v>-87.201800000000006</c:v>
                </c:pt>
                <c:pt idx="14">
                  <c:v>-87.945400000000006</c:v>
                </c:pt>
                <c:pt idx="15">
                  <c:v>-89.207899999999995</c:v>
                </c:pt>
                <c:pt idx="16">
                  <c:v>-90.783600000000007</c:v>
                </c:pt>
                <c:pt idx="17">
                  <c:v>-91.275400000000005</c:v>
                </c:pt>
                <c:pt idx="18">
                  <c:v>-91.500699999999995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EC-0B4B-8A14-EEFAC5339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614784"/>
        <c:axId val="1624347375"/>
      </c:scatterChart>
      <c:valAx>
        <c:axId val="2146614784"/>
        <c:scaling>
          <c:orientation val="minMax"/>
          <c:max val="2024"/>
          <c:min val="2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347375"/>
        <c:crosses val="autoZero"/>
        <c:crossBetween val="midCat"/>
      </c:valAx>
      <c:valAx>
        <c:axId val="162434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614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Tropical</a:t>
            </a:r>
            <a:r>
              <a:rPr lang="en-US" baseline="0"/>
              <a:t> North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All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Sheet1!$A$3:$A$21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Sheet1!$B$3:$B$21</c:f>
              <c:numCache>
                <c:formatCode>General</c:formatCode>
                <c:ptCount val="19"/>
                <c:pt idx="0">
                  <c:v>-85.112700000000004</c:v>
                </c:pt>
                <c:pt idx="1">
                  <c:v>-83.807699999999997</c:v>
                </c:pt>
                <c:pt idx="2">
                  <c:v>-83.858800000000002</c:v>
                </c:pt>
                <c:pt idx="3">
                  <c:v>-84.704899999999995</c:v>
                </c:pt>
                <c:pt idx="4">
                  <c:v>-83.578599999999994</c:v>
                </c:pt>
                <c:pt idx="5">
                  <c:v>-85.537300000000002</c:v>
                </c:pt>
                <c:pt idx="6">
                  <c:v>-85.101900000000001</c:v>
                </c:pt>
                <c:pt idx="7">
                  <c:v>-85.983999999999995</c:v>
                </c:pt>
                <c:pt idx="8">
                  <c:v>-84.557599999999994</c:v>
                </c:pt>
                <c:pt idx="9">
                  <c:v>-85.799599999999998</c:v>
                </c:pt>
                <c:pt idx="10">
                  <c:v>-86.730999999999995</c:v>
                </c:pt>
                <c:pt idx="11">
                  <c:v>-87.298299999999998</c:v>
                </c:pt>
                <c:pt idx="12">
                  <c:v>-87.732299999999995</c:v>
                </c:pt>
                <c:pt idx="13">
                  <c:v>-87.209199999999996</c:v>
                </c:pt>
                <c:pt idx="14">
                  <c:v>-87.959100000000007</c:v>
                </c:pt>
                <c:pt idx="15">
                  <c:v>-89.220299999999995</c:v>
                </c:pt>
                <c:pt idx="16">
                  <c:v>-90.818899999999999</c:v>
                </c:pt>
                <c:pt idx="17">
                  <c:v>-91.583399999999997</c:v>
                </c:pt>
                <c:pt idx="18">
                  <c:v>-92.023499999999999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3-9D4A-92D7-B6131DFEC64A}"/>
            </c:ext>
          </c:extLst>
        </c:ser>
        <c:ser>
          <c:idx val="1"/>
          <c:order val="1"/>
          <c:tx>
            <c:v>No INSTAAR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Sheet1!$A$3:$A$21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Sheet1!$C$3:$C$21</c:f>
              <c:numCache>
                <c:formatCode>General</c:formatCode>
                <c:ptCount val="19"/>
                <c:pt idx="0">
                  <c:v>-84.802300000000002</c:v>
                </c:pt>
                <c:pt idx="1">
                  <c:v>-83.525599999999997</c:v>
                </c:pt>
                <c:pt idx="2">
                  <c:v>-86.265100000000004</c:v>
                </c:pt>
                <c:pt idx="3">
                  <c:v>-84.851200000000006</c:v>
                </c:pt>
                <c:pt idx="4">
                  <c:v>-86.904799999999994</c:v>
                </c:pt>
                <c:pt idx="5">
                  <c:v>-85.536900000000003</c:v>
                </c:pt>
                <c:pt idx="6">
                  <c:v>-85.148399999999995</c:v>
                </c:pt>
                <c:pt idx="7">
                  <c:v>-85.916899999999998</c:v>
                </c:pt>
                <c:pt idx="8">
                  <c:v>-84.6387</c:v>
                </c:pt>
                <c:pt idx="9">
                  <c:v>-85.818700000000007</c:v>
                </c:pt>
                <c:pt idx="10">
                  <c:v>-86.724999999999994</c:v>
                </c:pt>
                <c:pt idx="11">
                  <c:v>-87.310599999999994</c:v>
                </c:pt>
                <c:pt idx="12">
                  <c:v>-87.772199999999998</c:v>
                </c:pt>
                <c:pt idx="13">
                  <c:v>-87.286900000000003</c:v>
                </c:pt>
                <c:pt idx="14">
                  <c:v>-87.995000000000005</c:v>
                </c:pt>
                <c:pt idx="15">
                  <c:v>-89.230099999999993</c:v>
                </c:pt>
                <c:pt idx="16">
                  <c:v>-90.8232</c:v>
                </c:pt>
                <c:pt idx="17">
                  <c:v>-91.556700000000006</c:v>
                </c:pt>
                <c:pt idx="18">
                  <c:v>-91.993899999999996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B3-9D4A-92D7-B6131DFEC64A}"/>
            </c:ext>
          </c:extLst>
        </c:ser>
        <c:ser>
          <c:idx val="2"/>
          <c:order val="2"/>
          <c:tx>
            <c:v>No INSTAAR or BUDS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Sheet1!$A$3:$A$21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Sheet1!$D$3:$D$21</c:f>
              <c:numCache>
                <c:formatCode>General</c:formatCode>
                <c:ptCount val="19"/>
                <c:pt idx="0">
                  <c:v>-84.478800000000007</c:v>
                </c:pt>
                <c:pt idx="1">
                  <c:v>-83.152900000000002</c:v>
                </c:pt>
                <c:pt idx="2">
                  <c:v>-85.869299999999996</c:v>
                </c:pt>
                <c:pt idx="3">
                  <c:v>-84.504099999999994</c:v>
                </c:pt>
                <c:pt idx="4">
                  <c:v>-86.565899999999999</c:v>
                </c:pt>
                <c:pt idx="5">
                  <c:v>-85.31</c:v>
                </c:pt>
                <c:pt idx="6">
                  <c:v>-84.995099999999994</c:v>
                </c:pt>
                <c:pt idx="7">
                  <c:v>-85.796899999999994</c:v>
                </c:pt>
                <c:pt idx="8">
                  <c:v>-84.561000000000007</c:v>
                </c:pt>
                <c:pt idx="9">
                  <c:v>-85.771199999999993</c:v>
                </c:pt>
                <c:pt idx="10">
                  <c:v>-86.7102</c:v>
                </c:pt>
                <c:pt idx="11">
                  <c:v>-87.239699999999999</c:v>
                </c:pt>
                <c:pt idx="12">
                  <c:v>-87.7029</c:v>
                </c:pt>
                <c:pt idx="13">
                  <c:v>-87.201800000000006</c:v>
                </c:pt>
                <c:pt idx="14">
                  <c:v>-87.945400000000006</c:v>
                </c:pt>
                <c:pt idx="15">
                  <c:v>-89.207899999999995</c:v>
                </c:pt>
                <c:pt idx="16">
                  <c:v>-90.783600000000007</c:v>
                </c:pt>
                <c:pt idx="17">
                  <c:v>-91.275400000000005</c:v>
                </c:pt>
                <c:pt idx="18">
                  <c:v>-91.500699999999995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B3-9D4A-92D7-B6131DFEC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614784"/>
        <c:axId val="1624347375"/>
      </c:scatterChart>
      <c:valAx>
        <c:axId val="2146614784"/>
        <c:scaling>
          <c:orientation val="minMax"/>
          <c:max val="2024"/>
          <c:min val="2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347375"/>
        <c:crosses val="autoZero"/>
        <c:crossBetween val="midCat"/>
      </c:valAx>
      <c:valAx>
        <c:axId val="162434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614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Tropical South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All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Sheet1!$A$3:$A$21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Sheet1!$B$3:$B$21</c:f>
              <c:numCache>
                <c:formatCode>General</c:formatCode>
                <c:ptCount val="19"/>
                <c:pt idx="0">
                  <c:v>-85.112700000000004</c:v>
                </c:pt>
                <c:pt idx="1">
                  <c:v>-83.807699999999997</c:v>
                </c:pt>
                <c:pt idx="2">
                  <c:v>-83.858800000000002</c:v>
                </c:pt>
                <c:pt idx="3">
                  <c:v>-84.704899999999995</c:v>
                </c:pt>
                <c:pt idx="4">
                  <c:v>-83.578599999999994</c:v>
                </c:pt>
                <c:pt idx="5">
                  <c:v>-85.537300000000002</c:v>
                </c:pt>
                <c:pt idx="6">
                  <c:v>-85.101900000000001</c:v>
                </c:pt>
                <c:pt idx="7">
                  <c:v>-85.983999999999995</c:v>
                </c:pt>
                <c:pt idx="8">
                  <c:v>-84.557599999999994</c:v>
                </c:pt>
                <c:pt idx="9">
                  <c:v>-85.799599999999998</c:v>
                </c:pt>
                <c:pt idx="10">
                  <c:v>-86.730999999999995</c:v>
                </c:pt>
                <c:pt idx="11">
                  <c:v>-87.298299999999998</c:v>
                </c:pt>
                <c:pt idx="12">
                  <c:v>-87.732299999999995</c:v>
                </c:pt>
                <c:pt idx="13">
                  <c:v>-87.209199999999996</c:v>
                </c:pt>
                <c:pt idx="14">
                  <c:v>-87.959100000000007</c:v>
                </c:pt>
                <c:pt idx="15">
                  <c:v>-89.220299999999995</c:v>
                </c:pt>
                <c:pt idx="16">
                  <c:v>-90.818899999999999</c:v>
                </c:pt>
                <c:pt idx="17">
                  <c:v>-91.583399999999997</c:v>
                </c:pt>
                <c:pt idx="18">
                  <c:v>-92.023499999999999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95-7F4A-A766-5F882A329058}"/>
            </c:ext>
          </c:extLst>
        </c:ser>
        <c:ser>
          <c:idx val="1"/>
          <c:order val="1"/>
          <c:tx>
            <c:v>No INSTAAR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Sheet1!$A$3:$A$21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Sheet1!$C$3:$C$21</c:f>
              <c:numCache>
                <c:formatCode>General</c:formatCode>
                <c:ptCount val="19"/>
                <c:pt idx="0">
                  <c:v>-84.802300000000002</c:v>
                </c:pt>
                <c:pt idx="1">
                  <c:v>-83.525599999999997</c:v>
                </c:pt>
                <c:pt idx="2">
                  <c:v>-86.265100000000004</c:v>
                </c:pt>
                <c:pt idx="3">
                  <c:v>-84.851200000000006</c:v>
                </c:pt>
                <c:pt idx="4">
                  <c:v>-86.904799999999994</c:v>
                </c:pt>
                <c:pt idx="5">
                  <c:v>-85.536900000000003</c:v>
                </c:pt>
                <c:pt idx="6">
                  <c:v>-85.148399999999995</c:v>
                </c:pt>
                <c:pt idx="7">
                  <c:v>-85.916899999999998</c:v>
                </c:pt>
                <c:pt idx="8">
                  <c:v>-84.6387</c:v>
                </c:pt>
                <c:pt idx="9">
                  <c:v>-85.818700000000007</c:v>
                </c:pt>
                <c:pt idx="10">
                  <c:v>-86.724999999999994</c:v>
                </c:pt>
                <c:pt idx="11">
                  <c:v>-87.310599999999994</c:v>
                </c:pt>
                <c:pt idx="12">
                  <c:v>-87.772199999999998</c:v>
                </c:pt>
                <c:pt idx="13">
                  <c:v>-87.286900000000003</c:v>
                </c:pt>
                <c:pt idx="14">
                  <c:v>-87.995000000000005</c:v>
                </c:pt>
                <c:pt idx="15">
                  <c:v>-89.230099999999993</c:v>
                </c:pt>
                <c:pt idx="16">
                  <c:v>-90.8232</c:v>
                </c:pt>
                <c:pt idx="17">
                  <c:v>-91.556700000000006</c:v>
                </c:pt>
                <c:pt idx="18">
                  <c:v>-91.993899999999996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95-7F4A-A766-5F882A329058}"/>
            </c:ext>
          </c:extLst>
        </c:ser>
        <c:ser>
          <c:idx val="2"/>
          <c:order val="2"/>
          <c:tx>
            <c:v>No INSTAAR or BUDS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Sheet1!$A$3:$A$21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Sheet1!$D$3:$D$21</c:f>
              <c:numCache>
                <c:formatCode>General</c:formatCode>
                <c:ptCount val="19"/>
                <c:pt idx="0">
                  <c:v>-84.478800000000007</c:v>
                </c:pt>
                <c:pt idx="1">
                  <c:v>-83.152900000000002</c:v>
                </c:pt>
                <c:pt idx="2">
                  <c:v>-85.869299999999996</c:v>
                </c:pt>
                <c:pt idx="3">
                  <c:v>-84.504099999999994</c:v>
                </c:pt>
                <c:pt idx="4">
                  <c:v>-86.565899999999999</c:v>
                </c:pt>
                <c:pt idx="5">
                  <c:v>-85.31</c:v>
                </c:pt>
                <c:pt idx="6">
                  <c:v>-84.995099999999994</c:v>
                </c:pt>
                <c:pt idx="7">
                  <c:v>-85.796899999999994</c:v>
                </c:pt>
                <c:pt idx="8">
                  <c:v>-84.561000000000007</c:v>
                </c:pt>
                <c:pt idx="9">
                  <c:v>-85.771199999999993</c:v>
                </c:pt>
                <c:pt idx="10">
                  <c:v>-86.7102</c:v>
                </c:pt>
                <c:pt idx="11">
                  <c:v>-87.239699999999999</c:v>
                </c:pt>
                <c:pt idx="12">
                  <c:v>-87.7029</c:v>
                </c:pt>
                <c:pt idx="13">
                  <c:v>-87.201800000000006</c:v>
                </c:pt>
                <c:pt idx="14">
                  <c:v>-87.945400000000006</c:v>
                </c:pt>
                <c:pt idx="15">
                  <c:v>-89.207899999999995</c:v>
                </c:pt>
                <c:pt idx="16">
                  <c:v>-90.783600000000007</c:v>
                </c:pt>
                <c:pt idx="17">
                  <c:v>-91.275400000000005</c:v>
                </c:pt>
                <c:pt idx="18">
                  <c:v>-91.500699999999995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95-7F4A-A766-5F882A329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614784"/>
        <c:axId val="1624347375"/>
      </c:scatterChart>
      <c:valAx>
        <c:axId val="2146614784"/>
        <c:scaling>
          <c:orientation val="minMax"/>
          <c:max val="2024"/>
          <c:min val="2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347375"/>
        <c:crosses val="autoZero"/>
        <c:crossBetween val="midCat"/>
      </c:valAx>
      <c:valAx>
        <c:axId val="162434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614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Polar South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All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Sheet1!$A$3:$A$21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Sheet1!$B$3:$B$21</c:f>
              <c:numCache>
                <c:formatCode>General</c:formatCode>
                <c:ptCount val="19"/>
                <c:pt idx="0">
                  <c:v>-85.112700000000004</c:v>
                </c:pt>
                <c:pt idx="1">
                  <c:v>-83.807699999999997</c:v>
                </c:pt>
                <c:pt idx="2">
                  <c:v>-83.858800000000002</c:v>
                </c:pt>
                <c:pt idx="3">
                  <c:v>-84.704899999999995</c:v>
                </c:pt>
                <c:pt idx="4">
                  <c:v>-83.578599999999994</c:v>
                </c:pt>
                <c:pt idx="5">
                  <c:v>-85.537300000000002</c:v>
                </c:pt>
                <c:pt idx="6">
                  <c:v>-85.101900000000001</c:v>
                </c:pt>
                <c:pt idx="7">
                  <c:v>-85.983999999999995</c:v>
                </c:pt>
                <c:pt idx="8">
                  <c:v>-84.557599999999994</c:v>
                </c:pt>
                <c:pt idx="9">
                  <c:v>-85.799599999999998</c:v>
                </c:pt>
                <c:pt idx="10">
                  <c:v>-86.730999999999995</c:v>
                </c:pt>
                <c:pt idx="11">
                  <c:v>-87.298299999999998</c:v>
                </c:pt>
                <c:pt idx="12">
                  <c:v>-87.732299999999995</c:v>
                </c:pt>
                <c:pt idx="13">
                  <c:v>-87.209199999999996</c:v>
                </c:pt>
                <c:pt idx="14">
                  <c:v>-87.959100000000007</c:v>
                </c:pt>
                <c:pt idx="15">
                  <c:v>-89.220299999999995</c:v>
                </c:pt>
                <c:pt idx="16">
                  <c:v>-90.818899999999999</c:v>
                </c:pt>
                <c:pt idx="17">
                  <c:v>-91.583399999999997</c:v>
                </c:pt>
                <c:pt idx="18">
                  <c:v>-92.023499999999999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BD-FE40-A640-19082C9B955F}"/>
            </c:ext>
          </c:extLst>
        </c:ser>
        <c:ser>
          <c:idx val="1"/>
          <c:order val="1"/>
          <c:tx>
            <c:v>No INSTAAR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Sheet1!$A$3:$A$21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Sheet1!$C$3:$C$21</c:f>
              <c:numCache>
                <c:formatCode>General</c:formatCode>
                <c:ptCount val="19"/>
                <c:pt idx="0">
                  <c:v>-84.802300000000002</c:v>
                </c:pt>
                <c:pt idx="1">
                  <c:v>-83.525599999999997</c:v>
                </c:pt>
                <c:pt idx="2">
                  <c:v>-86.265100000000004</c:v>
                </c:pt>
                <c:pt idx="3">
                  <c:v>-84.851200000000006</c:v>
                </c:pt>
                <c:pt idx="4">
                  <c:v>-86.904799999999994</c:v>
                </c:pt>
                <c:pt idx="5">
                  <c:v>-85.536900000000003</c:v>
                </c:pt>
                <c:pt idx="6">
                  <c:v>-85.148399999999995</c:v>
                </c:pt>
                <c:pt idx="7">
                  <c:v>-85.916899999999998</c:v>
                </c:pt>
                <c:pt idx="8">
                  <c:v>-84.6387</c:v>
                </c:pt>
                <c:pt idx="9">
                  <c:v>-85.818700000000007</c:v>
                </c:pt>
                <c:pt idx="10">
                  <c:v>-86.724999999999994</c:v>
                </c:pt>
                <c:pt idx="11">
                  <c:v>-87.310599999999994</c:v>
                </c:pt>
                <c:pt idx="12">
                  <c:v>-87.772199999999998</c:v>
                </c:pt>
                <c:pt idx="13">
                  <c:v>-87.286900000000003</c:v>
                </c:pt>
                <c:pt idx="14">
                  <c:v>-87.995000000000005</c:v>
                </c:pt>
                <c:pt idx="15">
                  <c:v>-89.230099999999993</c:v>
                </c:pt>
                <c:pt idx="16">
                  <c:v>-90.8232</c:v>
                </c:pt>
                <c:pt idx="17">
                  <c:v>-91.556700000000006</c:v>
                </c:pt>
                <c:pt idx="18">
                  <c:v>-91.993899999999996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BD-FE40-A640-19082C9B955F}"/>
            </c:ext>
          </c:extLst>
        </c:ser>
        <c:ser>
          <c:idx val="2"/>
          <c:order val="2"/>
          <c:tx>
            <c:v>No INSTAAR or BUDS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Sheet1!$A$3:$A$21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Sheet1!$D$3:$D$21</c:f>
              <c:numCache>
                <c:formatCode>General</c:formatCode>
                <c:ptCount val="19"/>
                <c:pt idx="0">
                  <c:v>-84.478800000000007</c:v>
                </c:pt>
                <c:pt idx="1">
                  <c:v>-83.152900000000002</c:v>
                </c:pt>
                <c:pt idx="2">
                  <c:v>-85.869299999999996</c:v>
                </c:pt>
                <c:pt idx="3">
                  <c:v>-84.504099999999994</c:v>
                </c:pt>
                <c:pt idx="4">
                  <c:v>-86.565899999999999</c:v>
                </c:pt>
                <c:pt idx="5">
                  <c:v>-85.31</c:v>
                </c:pt>
                <c:pt idx="6">
                  <c:v>-84.995099999999994</c:v>
                </c:pt>
                <c:pt idx="7">
                  <c:v>-85.796899999999994</c:v>
                </c:pt>
                <c:pt idx="8">
                  <c:v>-84.561000000000007</c:v>
                </c:pt>
                <c:pt idx="9">
                  <c:v>-85.771199999999993</c:v>
                </c:pt>
                <c:pt idx="10">
                  <c:v>-86.7102</c:v>
                </c:pt>
                <c:pt idx="11">
                  <c:v>-87.239699999999999</c:v>
                </c:pt>
                <c:pt idx="12">
                  <c:v>-87.7029</c:v>
                </c:pt>
                <c:pt idx="13">
                  <c:v>-87.201800000000006</c:v>
                </c:pt>
                <c:pt idx="14">
                  <c:v>-87.945400000000006</c:v>
                </c:pt>
                <c:pt idx="15">
                  <c:v>-89.207899999999995</c:v>
                </c:pt>
                <c:pt idx="16">
                  <c:v>-90.783600000000007</c:v>
                </c:pt>
                <c:pt idx="17">
                  <c:v>-91.275400000000005</c:v>
                </c:pt>
                <c:pt idx="18">
                  <c:v>-91.500699999999995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BD-FE40-A640-19082C9B9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614784"/>
        <c:axId val="1624347375"/>
      </c:scatterChart>
      <c:valAx>
        <c:axId val="2146614784"/>
        <c:scaling>
          <c:orientation val="minMax"/>
          <c:max val="2024"/>
          <c:min val="2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347375"/>
        <c:crosses val="autoZero"/>
        <c:crossBetween val="midCat"/>
      </c:valAx>
      <c:valAx>
        <c:axId val="162434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614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440307</xdr:colOff>
      <xdr:row>3</xdr:row>
      <xdr:rowOff>11617</xdr:rowOff>
    </xdr:from>
    <xdr:to>
      <xdr:col>20</xdr:col>
      <xdr:colOff>703856</xdr:colOff>
      <xdr:row>22</xdr:row>
      <xdr:rowOff>122408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5C369A-0B37-ABEC-AC57-748818E9D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550843</xdr:colOff>
      <xdr:row>23</xdr:row>
      <xdr:rowOff>137712</xdr:rowOff>
    </xdr:from>
    <xdr:to>
      <xdr:col>20</xdr:col>
      <xdr:colOff>814392</xdr:colOff>
      <xdr:row>43</xdr:row>
      <xdr:rowOff>49588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BD2ECA-525B-5E43-B042-691DF6965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46</xdr:row>
      <xdr:rowOff>0</xdr:rowOff>
    </xdr:from>
    <xdr:to>
      <xdr:col>21</xdr:col>
      <xdr:colOff>263549</xdr:colOff>
      <xdr:row>65</xdr:row>
      <xdr:rowOff>110791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40E0197-5139-A845-8933-4334BC343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810964</xdr:colOff>
      <xdr:row>67</xdr:row>
      <xdr:rowOff>0</xdr:rowOff>
    </xdr:from>
    <xdr:to>
      <xdr:col>21</xdr:col>
      <xdr:colOff>248248</xdr:colOff>
      <xdr:row>86</xdr:row>
      <xdr:rowOff>110791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A516F97-7606-9248-BB67-42C2576C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8C5E-B4D9-DA4A-83C8-89A9EF350BD7}">
  <dimension ref="A1:M31"/>
  <sheetViews>
    <sheetView tabSelected="1" topLeftCell="A15" zoomScale="125" zoomScaleNormal="125" workbookViewId="0">
      <selection activeCell="G25" sqref="G25"/>
    </sheetView>
  </sheetViews>
  <sheetFormatPr baseColWidth="10" defaultRowHeight="16" x14ac:dyDescent="0.2"/>
  <cols>
    <col min="4" max="4" width="18.83203125" bestFit="1" customWidth="1"/>
    <col min="5" max="5" width="12" customWidth="1"/>
    <col min="6" max="6" width="19.5" customWidth="1"/>
    <col min="7" max="7" width="18.83203125" bestFit="1" customWidth="1"/>
    <col min="10" max="10" width="18.83203125" bestFit="1" customWidth="1"/>
    <col min="13" max="13" width="18.83203125" bestFit="1" customWidth="1"/>
  </cols>
  <sheetData>
    <row r="1" spans="1:13" x14ac:dyDescent="0.2">
      <c r="B1" t="s">
        <v>5</v>
      </c>
      <c r="E1" t="s">
        <v>6</v>
      </c>
      <c r="H1" t="s">
        <v>8</v>
      </c>
      <c r="K1" t="s">
        <v>7</v>
      </c>
    </row>
    <row r="2" spans="1:13" x14ac:dyDescent="0.2">
      <c r="A2" t="s">
        <v>3</v>
      </c>
      <c r="B2" t="s">
        <v>4</v>
      </c>
      <c r="C2" t="s">
        <v>9</v>
      </c>
      <c r="D2" t="s">
        <v>2</v>
      </c>
      <c r="E2" t="s">
        <v>4</v>
      </c>
      <c r="F2" t="s">
        <v>9</v>
      </c>
      <c r="G2" t="s">
        <v>2</v>
      </c>
      <c r="H2" t="s">
        <v>4</v>
      </c>
      <c r="I2" t="s">
        <v>9</v>
      </c>
      <c r="J2" t="s">
        <v>2</v>
      </c>
      <c r="K2" t="s">
        <v>4</v>
      </c>
      <c r="L2" t="s">
        <v>9</v>
      </c>
      <c r="M2" t="s">
        <v>2</v>
      </c>
    </row>
    <row r="3" spans="1:13" x14ac:dyDescent="0.2">
      <c r="A3">
        <v>2005</v>
      </c>
      <c r="B3">
        <v>-85.112700000000004</v>
      </c>
      <c r="C3">
        <v>-84.802300000000002</v>
      </c>
      <c r="D3">
        <v>-84.478800000000007</v>
      </c>
      <c r="E3">
        <v>-79.113500000000002</v>
      </c>
      <c r="F3">
        <v>-79.628699999999995</v>
      </c>
      <c r="G3">
        <v>-79.529399999999995</v>
      </c>
      <c r="H3">
        <v>-70.561400000000006</v>
      </c>
      <c r="I3">
        <v>-70.244699999999995</v>
      </c>
      <c r="J3">
        <v>-68.751499999999993</v>
      </c>
      <c r="K3">
        <v>-69.701300000000003</v>
      </c>
      <c r="L3">
        <v>-69.5578</v>
      </c>
      <c r="M3">
        <v>-70.801100000000005</v>
      </c>
    </row>
    <row r="4" spans="1:13" x14ac:dyDescent="0.2">
      <c r="A4">
        <f>A3+1</f>
        <v>2006</v>
      </c>
      <c r="B4">
        <v>-83.807699999999997</v>
      </c>
      <c r="C4">
        <v>-83.525599999999997</v>
      </c>
      <c r="D4">
        <v>-83.152900000000002</v>
      </c>
      <c r="E4">
        <v>-77.933400000000006</v>
      </c>
      <c r="F4">
        <v>-79.215299999999999</v>
      </c>
      <c r="G4">
        <v>-79.141000000000005</v>
      </c>
      <c r="H4">
        <v>-70.716999999999999</v>
      </c>
      <c r="I4">
        <v>-70.371799999999993</v>
      </c>
      <c r="J4">
        <v>-68.947699999999998</v>
      </c>
      <c r="K4">
        <v>-69.400300000000001</v>
      </c>
      <c r="L4">
        <v>-69.766300000000001</v>
      </c>
      <c r="M4">
        <v>-70.092200000000005</v>
      </c>
    </row>
    <row r="5" spans="1:13" x14ac:dyDescent="0.2">
      <c r="A5">
        <f t="shared" ref="A5:A21" si="0">A4+1</f>
        <v>2007</v>
      </c>
      <c r="B5">
        <v>-83.858800000000002</v>
      </c>
      <c r="C5">
        <v>-86.265100000000004</v>
      </c>
      <c r="D5">
        <v>-85.869299999999996</v>
      </c>
      <c r="E5">
        <v>-77.896199999999993</v>
      </c>
      <c r="F5">
        <v>-80.944900000000004</v>
      </c>
      <c r="G5">
        <v>-80.901200000000003</v>
      </c>
      <c r="H5">
        <v>-70.796899999999994</v>
      </c>
      <c r="I5">
        <v>-70.475399999999993</v>
      </c>
      <c r="J5">
        <v>-70.726799999999997</v>
      </c>
      <c r="K5">
        <v>-70.627600000000001</v>
      </c>
      <c r="L5">
        <v>-71.510300000000001</v>
      </c>
      <c r="M5">
        <v>-70.936000000000007</v>
      </c>
    </row>
    <row r="6" spans="1:13" x14ac:dyDescent="0.2">
      <c r="A6">
        <f t="shared" si="0"/>
        <v>2008</v>
      </c>
      <c r="B6">
        <v>-84.704899999999995</v>
      </c>
      <c r="C6">
        <v>-84.851200000000006</v>
      </c>
      <c r="D6">
        <v>-84.504099999999994</v>
      </c>
      <c r="E6">
        <v>-77.821299999999994</v>
      </c>
      <c r="F6">
        <v>-80.226399999999998</v>
      </c>
      <c r="G6">
        <v>-80.201999999999998</v>
      </c>
      <c r="H6">
        <v>-70.979299999999995</v>
      </c>
      <c r="I6">
        <v>-70.682100000000005</v>
      </c>
      <c r="J6">
        <v>-70.050600000000003</v>
      </c>
      <c r="K6">
        <v>-70.466200000000001</v>
      </c>
      <c r="L6">
        <v>-70.808499999999995</v>
      </c>
      <c r="M6">
        <v>-70.897800000000004</v>
      </c>
    </row>
    <row r="7" spans="1:13" x14ac:dyDescent="0.2">
      <c r="A7">
        <f t="shared" si="0"/>
        <v>2009</v>
      </c>
      <c r="B7">
        <v>-83.578599999999994</v>
      </c>
      <c r="C7">
        <v>-86.904799999999994</v>
      </c>
      <c r="D7">
        <v>-86.565899999999999</v>
      </c>
      <c r="E7">
        <v>-78.914699999999996</v>
      </c>
      <c r="F7">
        <v>-81.478300000000004</v>
      </c>
      <c r="G7">
        <v>-81.371600000000001</v>
      </c>
      <c r="H7">
        <v>-70.334000000000003</v>
      </c>
      <c r="I7">
        <v>-69.864099999999993</v>
      </c>
      <c r="J7">
        <v>-71.212800000000001</v>
      </c>
      <c r="K7">
        <v>-70.019400000000005</v>
      </c>
      <c r="L7">
        <v>-72.034300000000002</v>
      </c>
      <c r="M7">
        <v>-71.196700000000007</v>
      </c>
    </row>
    <row r="8" spans="1:13" x14ac:dyDescent="0.2">
      <c r="A8">
        <f t="shared" si="0"/>
        <v>2010</v>
      </c>
      <c r="B8">
        <v>-85.537300000000002</v>
      </c>
      <c r="C8">
        <v>-85.536900000000003</v>
      </c>
      <c r="D8">
        <v>-85.31</v>
      </c>
      <c r="E8">
        <v>-80.395499999999998</v>
      </c>
      <c r="F8">
        <v>-81.035200000000003</v>
      </c>
      <c r="G8">
        <v>-80.960899999999995</v>
      </c>
      <c r="H8">
        <v>-71.260800000000003</v>
      </c>
      <c r="I8">
        <v>-71.015199999999993</v>
      </c>
      <c r="J8">
        <v>-70.751199999999997</v>
      </c>
      <c r="K8">
        <v>-71.416499999999999</v>
      </c>
      <c r="L8">
        <v>-71.517700000000005</v>
      </c>
      <c r="M8">
        <v>-71.603399999999993</v>
      </c>
    </row>
    <row r="9" spans="1:13" x14ac:dyDescent="0.2">
      <c r="A9">
        <f t="shared" si="0"/>
        <v>2011</v>
      </c>
      <c r="B9">
        <v>-85.101900000000001</v>
      </c>
      <c r="C9">
        <v>-85.148399999999995</v>
      </c>
      <c r="D9">
        <v>-84.995099999999994</v>
      </c>
      <c r="E9">
        <v>-80.743200000000002</v>
      </c>
      <c r="F9">
        <v>-81.102800000000002</v>
      </c>
      <c r="G9">
        <v>-81.0745</v>
      </c>
      <c r="H9">
        <v>-71.063900000000004</v>
      </c>
      <c r="I9">
        <v>-70.995000000000005</v>
      </c>
      <c r="J9">
        <v>-70.368700000000004</v>
      </c>
      <c r="K9">
        <v>-70.874499999999998</v>
      </c>
      <c r="L9">
        <v>-71.081599999999995</v>
      </c>
      <c r="M9">
        <v>-71.048500000000004</v>
      </c>
    </row>
    <row r="10" spans="1:13" x14ac:dyDescent="0.2">
      <c r="A10">
        <f t="shared" si="0"/>
        <v>2012</v>
      </c>
      <c r="B10">
        <v>-85.983999999999995</v>
      </c>
      <c r="C10">
        <v>-85.916899999999998</v>
      </c>
      <c r="D10">
        <v>-85.796899999999994</v>
      </c>
      <c r="E10">
        <v>-79.740099999999998</v>
      </c>
      <c r="F10">
        <v>-79.915800000000004</v>
      </c>
      <c r="G10">
        <v>-79.941000000000003</v>
      </c>
      <c r="H10">
        <v>-71.2149</v>
      </c>
      <c r="I10">
        <v>-71.140199999999993</v>
      </c>
      <c r="J10">
        <v>-70.463300000000004</v>
      </c>
      <c r="K10">
        <v>-70.294300000000007</v>
      </c>
      <c r="L10">
        <v>-71.123199999999997</v>
      </c>
      <c r="M10">
        <v>-70.441599999999994</v>
      </c>
    </row>
    <row r="11" spans="1:13" x14ac:dyDescent="0.2">
      <c r="A11">
        <f t="shared" si="0"/>
        <v>2013</v>
      </c>
      <c r="B11">
        <v>-84.557599999999994</v>
      </c>
      <c r="C11">
        <v>-84.6387</v>
      </c>
      <c r="D11">
        <v>-84.561000000000007</v>
      </c>
      <c r="E11">
        <v>-79.8035</v>
      </c>
      <c r="F11">
        <v>-80.122399999999999</v>
      </c>
      <c r="G11">
        <v>-80.134</v>
      </c>
      <c r="H11">
        <v>-70.036100000000005</v>
      </c>
      <c r="I11">
        <v>-70.001999999999995</v>
      </c>
      <c r="J11">
        <v>-69.785300000000007</v>
      </c>
      <c r="K11">
        <v>-69.176400000000001</v>
      </c>
      <c r="L11">
        <v>-70.101699999999994</v>
      </c>
      <c r="M11">
        <v>-69.322800000000001</v>
      </c>
    </row>
    <row r="12" spans="1:13" x14ac:dyDescent="0.2">
      <c r="A12">
        <f t="shared" si="0"/>
        <v>2014</v>
      </c>
      <c r="B12">
        <v>-85.799599999999998</v>
      </c>
      <c r="C12">
        <v>-85.818700000000007</v>
      </c>
      <c r="D12">
        <v>-85.771199999999993</v>
      </c>
      <c r="E12">
        <v>-80.288300000000007</v>
      </c>
      <c r="F12">
        <v>-80.582499999999996</v>
      </c>
      <c r="G12">
        <v>-80.603099999999998</v>
      </c>
      <c r="H12">
        <v>-72.084500000000006</v>
      </c>
      <c r="I12">
        <v>-71.997600000000006</v>
      </c>
      <c r="J12">
        <v>-72.112700000000004</v>
      </c>
      <c r="K12">
        <v>-69.708799999999997</v>
      </c>
      <c r="L12">
        <v>-72.109099999999998</v>
      </c>
      <c r="M12">
        <v>-69.844200000000001</v>
      </c>
    </row>
    <row r="13" spans="1:13" x14ac:dyDescent="0.2">
      <c r="A13">
        <f t="shared" si="0"/>
        <v>2015</v>
      </c>
      <c r="B13">
        <v>-86.730999999999995</v>
      </c>
      <c r="C13">
        <v>-86.724999999999994</v>
      </c>
      <c r="D13">
        <v>-86.7102</v>
      </c>
      <c r="E13">
        <v>-80.956999999999994</v>
      </c>
      <c r="F13">
        <v>-81.296800000000005</v>
      </c>
      <c r="G13">
        <v>-81.305000000000007</v>
      </c>
      <c r="H13">
        <v>-70.696100000000001</v>
      </c>
      <c r="I13">
        <v>-70.758099999999999</v>
      </c>
      <c r="J13">
        <v>-70.5608</v>
      </c>
      <c r="K13">
        <v>-70.471500000000006</v>
      </c>
      <c r="L13">
        <v>-70.846500000000006</v>
      </c>
      <c r="M13">
        <v>-70.641599999999997</v>
      </c>
    </row>
    <row r="14" spans="1:13" x14ac:dyDescent="0.2">
      <c r="A14">
        <f t="shared" si="0"/>
        <v>2016</v>
      </c>
      <c r="B14">
        <v>-87.298299999999998</v>
      </c>
      <c r="C14">
        <v>-87.310599999999994</v>
      </c>
      <c r="D14">
        <v>-87.239699999999999</v>
      </c>
      <c r="E14">
        <v>-81.441599999999994</v>
      </c>
      <c r="F14">
        <v>-81.705600000000004</v>
      </c>
      <c r="G14">
        <v>-81.660799999999995</v>
      </c>
      <c r="H14">
        <v>-70.682199999999995</v>
      </c>
      <c r="I14">
        <v>-70.793300000000002</v>
      </c>
      <c r="J14">
        <v>-70.497100000000003</v>
      </c>
      <c r="K14">
        <v>-71.296899999999994</v>
      </c>
      <c r="L14">
        <v>-70.894499999999994</v>
      </c>
      <c r="M14">
        <v>-71.438699999999997</v>
      </c>
    </row>
    <row r="15" spans="1:13" x14ac:dyDescent="0.2">
      <c r="A15">
        <f t="shared" si="0"/>
        <v>2017</v>
      </c>
      <c r="B15">
        <v>-87.732299999999995</v>
      </c>
      <c r="C15">
        <v>-87.772199999999998</v>
      </c>
      <c r="D15">
        <v>-87.7029</v>
      </c>
      <c r="E15">
        <v>-81.194100000000006</v>
      </c>
      <c r="F15">
        <v>-81.418300000000002</v>
      </c>
      <c r="G15">
        <v>-81.426400000000001</v>
      </c>
      <c r="H15">
        <v>-71.907700000000006</v>
      </c>
      <c r="I15">
        <v>-71.947299999999998</v>
      </c>
      <c r="J15">
        <v>-71.7864</v>
      </c>
      <c r="K15">
        <v>-71.27</v>
      </c>
      <c r="L15">
        <v>-72.091499999999996</v>
      </c>
      <c r="M15">
        <v>-71.385900000000007</v>
      </c>
    </row>
    <row r="16" spans="1:13" x14ac:dyDescent="0.2">
      <c r="A16">
        <f t="shared" si="0"/>
        <v>2018</v>
      </c>
      <c r="B16">
        <v>-87.209199999999996</v>
      </c>
      <c r="C16">
        <v>-87.286900000000003</v>
      </c>
      <c r="D16">
        <v>-87.201800000000006</v>
      </c>
      <c r="E16">
        <v>-81.674300000000002</v>
      </c>
      <c r="F16">
        <v>-81.889700000000005</v>
      </c>
      <c r="G16">
        <v>-81.9041</v>
      </c>
      <c r="H16">
        <v>-71.801900000000003</v>
      </c>
      <c r="I16">
        <v>-71.838899999999995</v>
      </c>
      <c r="J16">
        <v>-71.619</v>
      </c>
      <c r="K16">
        <v>-72.352699999999999</v>
      </c>
      <c r="L16">
        <v>-71.996499999999997</v>
      </c>
      <c r="M16">
        <v>-72.464399999999998</v>
      </c>
    </row>
    <row r="17" spans="1:13" x14ac:dyDescent="0.2">
      <c r="A17">
        <f t="shared" si="0"/>
        <v>2019</v>
      </c>
      <c r="B17">
        <v>-87.959100000000007</v>
      </c>
      <c r="C17">
        <v>-87.995000000000005</v>
      </c>
      <c r="D17">
        <v>-87.945400000000006</v>
      </c>
      <c r="E17">
        <v>-82.249499999999998</v>
      </c>
      <c r="F17">
        <v>-82.517200000000003</v>
      </c>
      <c r="G17">
        <v>-82.521799999999999</v>
      </c>
      <c r="H17">
        <v>-72.875299999999996</v>
      </c>
      <c r="I17">
        <v>-72.869900000000001</v>
      </c>
      <c r="J17">
        <v>-72.779499999999999</v>
      </c>
      <c r="K17">
        <v>-72.444100000000006</v>
      </c>
      <c r="L17">
        <v>-73.0428</v>
      </c>
      <c r="M17">
        <v>-72.533600000000007</v>
      </c>
    </row>
    <row r="18" spans="1:13" x14ac:dyDescent="0.2">
      <c r="A18">
        <f t="shared" si="0"/>
        <v>2020</v>
      </c>
      <c r="B18">
        <v>-89.220299999999995</v>
      </c>
      <c r="C18">
        <v>-89.230099999999993</v>
      </c>
      <c r="D18">
        <v>-89.207899999999995</v>
      </c>
      <c r="E18">
        <v>-82.633399999999995</v>
      </c>
      <c r="F18">
        <v>-82.953199999999995</v>
      </c>
      <c r="G18">
        <v>-82.902500000000003</v>
      </c>
      <c r="H18">
        <v>-72.958500000000001</v>
      </c>
      <c r="I18">
        <v>-72.996300000000005</v>
      </c>
      <c r="J18">
        <v>-72.826899999999995</v>
      </c>
      <c r="K18">
        <v>-71.644199999999998</v>
      </c>
      <c r="L18">
        <v>-73.088800000000006</v>
      </c>
      <c r="M18">
        <v>-71.890299999999996</v>
      </c>
    </row>
    <row r="19" spans="1:13" x14ac:dyDescent="0.2">
      <c r="A19">
        <f t="shared" si="0"/>
        <v>2021</v>
      </c>
      <c r="B19">
        <v>-90.818899999999999</v>
      </c>
      <c r="C19">
        <v>-90.8232</v>
      </c>
      <c r="D19">
        <v>-90.783600000000007</v>
      </c>
      <c r="E19">
        <v>-84.872299999999996</v>
      </c>
      <c r="F19">
        <v>-85.198400000000007</v>
      </c>
      <c r="G19">
        <v>-85.216399999999993</v>
      </c>
      <c r="H19">
        <v>-74.472800000000007</v>
      </c>
      <c r="I19">
        <v>-74.492099999999994</v>
      </c>
      <c r="J19">
        <v>-74.356399999999994</v>
      </c>
      <c r="K19">
        <v>-72.831299999999999</v>
      </c>
      <c r="L19">
        <v>-74.568100000000001</v>
      </c>
      <c r="M19">
        <v>-73.063900000000004</v>
      </c>
    </row>
    <row r="20" spans="1:13" x14ac:dyDescent="0.2">
      <c r="A20">
        <f t="shared" si="0"/>
        <v>2022</v>
      </c>
      <c r="B20">
        <v>-91.583399999999997</v>
      </c>
      <c r="C20">
        <v>-91.556700000000006</v>
      </c>
      <c r="D20">
        <v>-91.275400000000005</v>
      </c>
      <c r="E20">
        <v>-85.223600000000005</v>
      </c>
      <c r="F20">
        <v>-85.389700000000005</v>
      </c>
      <c r="G20">
        <v>-85.403999999999996</v>
      </c>
      <c r="H20">
        <v>-77.243499999999997</v>
      </c>
      <c r="I20">
        <v>-77.279799999999994</v>
      </c>
      <c r="J20">
        <v>-75.2423</v>
      </c>
      <c r="K20">
        <v>-74.898200000000003</v>
      </c>
      <c r="L20">
        <v>-77.416700000000006</v>
      </c>
      <c r="M20">
        <v>-75.105800000000002</v>
      </c>
    </row>
    <row r="21" spans="1:13" x14ac:dyDescent="0.2">
      <c r="A21">
        <f t="shared" si="0"/>
        <v>2023</v>
      </c>
      <c r="B21">
        <v>-92.023499999999999</v>
      </c>
      <c r="C21">
        <v>-91.993899999999996</v>
      </c>
      <c r="D21">
        <v>-91.500699999999995</v>
      </c>
      <c r="E21">
        <v>-85.971299999999999</v>
      </c>
      <c r="F21">
        <v>-86.132300000000001</v>
      </c>
      <c r="G21">
        <v>-85.6922</v>
      </c>
      <c r="H21">
        <v>-79.626000000000005</v>
      </c>
      <c r="I21">
        <v>-79.442499999999995</v>
      </c>
      <c r="J21">
        <v>-76.701800000000006</v>
      </c>
      <c r="K21">
        <v>-77.965299999999999</v>
      </c>
      <c r="L21">
        <v>-79.653899999999993</v>
      </c>
      <c r="M21">
        <v>-76.369699999999995</v>
      </c>
    </row>
    <row r="23" spans="1:13" ht="17" thickBot="1" x14ac:dyDescent="0.25">
      <c r="C23" s="1" t="s">
        <v>15</v>
      </c>
    </row>
    <row r="24" spans="1:13" x14ac:dyDescent="0.2">
      <c r="C24" s="8" t="s">
        <v>14</v>
      </c>
      <c r="D24" s="9" t="s">
        <v>0</v>
      </c>
      <c r="E24" s="9" t="s">
        <v>1</v>
      </c>
      <c r="F24" s="10" t="s">
        <v>13</v>
      </c>
    </row>
    <row r="25" spans="1:13" x14ac:dyDescent="0.2">
      <c r="C25" s="6" t="s">
        <v>5</v>
      </c>
      <c r="D25" s="2">
        <f>B21-AVERAGE(B3:B5)</f>
        <v>-7.7637666666666689</v>
      </c>
      <c r="E25" s="2">
        <f t="shared" ref="E25:F25" si="1">C21-AVERAGE(C3:C5)</f>
        <v>-7.1295666666666619</v>
      </c>
      <c r="F25" s="3">
        <f t="shared" si="1"/>
        <v>-7.0003666666666504</v>
      </c>
    </row>
    <row r="26" spans="1:13" x14ac:dyDescent="0.2">
      <c r="C26" s="6" t="s">
        <v>6</v>
      </c>
      <c r="D26" s="2">
        <f>E21-AVERAGE(E3:E5)</f>
        <v>-7.6569333333333418</v>
      </c>
      <c r="E26" s="2">
        <f t="shared" ref="E26:F26" si="2">F21-AVERAGE(F3:F5)</f>
        <v>-6.2026666666666586</v>
      </c>
      <c r="F26" s="3">
        <f t="shared" si="2"/>
        <v>-5.835000000000008</v>
      </c>
    </row>
    <row r="27" spans="1:13" x14ac:dyDescent="0.2">
      <c r="C27" s="6" t="s">
        <v>8</v>
      </c>
      <c r="D27" s="2">
        <f>H21-AVERAGE(H3:H5)</f>
        <v>-8.9342333333333386</v>
      </c>
      <c r="E27" s="2">
        <f t="shared" ref="E27:F27" si="3">I21-AVERAGE(I3:I5)</f>
        <v>-9.0785333333333398</v>
      </c>
      <c r="F27" s="3">
        <f t="shared" si="3"/>
        <v>-7.2264666666666812</v>
      </c>
    </row>
    <row r="28" spans="1:13" x14ac:dyDescent="0.2">
      <c r="C28" s="6" t="s">
        <v>7</v>
      </c>
      <c r="D28" s="2">
        <f>K21-AVERAGE(K3:K5)</f>
        <v>-8.0555666666666639</v>
      </c>
      <c r="E28" s="2">
        <f t="shared" ref="E28:F28" si="4">L21-AVERAGE(L3:L5)</f>
        <v>-9.3757666666666637</v>
      </c>
      <c r="F28" s="3">
        <f t="shared" si="4"/>
        <v>-5.759933333333322</v>
      </c>
    </row>
    <row r="29" spans="1:13" x14ac:dyDescent="0.2">
      <c r="C29" s="6" t="s">
        <v>10</v>
      </c>
      <c r="D29" s="2">
        <f>AVERAGE(D25:D26)</f>
        <v>-7.7103500000000054</v>
      </c>
      <c r="E29" s="2">
        <f t="shared" ref="E29:F29" si="5">AVERAGE(E25:E26)</f>
        <v>-6.6661166666666603</v>
      </c>
      <c r="F29" s="3">
        <f t="shared" si="5"/>
        <v>-6.4176833333333292</v>
      </c>
    </row>
    <row r="30" spans="1:13" x14ac:dyDescent="0.2">
      <c r="C30" s="6" t="s">
        <v>11</v>
      </c>
      <c r="D30" s="2">
        <f>AVERAGE(D28:D29)</f>
        <v>-7.8829583333333346</v>
      </c>
      <c r="E30" s="2">
        <f t="shared" ref="E30:F30" si="6">AVERAGE(E28:E29)</f>
        <v>-8.020941666666662</v>
      </c>
      <c r="F30" s="3">
        <f t="shared" si="6"/>
        <v>-6.0888083333333256</v>
      </c>
    </row>
    <row r="31" spans="1:13" ht="17" thickBot="1" x14ac:dyDescent="0.25">
      <c r="C31" s="7" t="s">
        <v>12</v>
      </c>
      <c r="D31" s="4">
        <f>AVERAGE(D25:D28)</f>
        <v>-8.1026250000000033</v>
      </c>
      <c r="E31" s="4">
        <f t="shared" ref="E31:F31" si="7">AVERAGE(E25:E28)</f>
        <v>-7.946633333333331</v>
      </c>
      <c r="F31" s="5">
        <f t="shared" si="7"/>
        <v>-6.4554416666666654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benjamin.riddell-young</dc:creator>
  <cp:lastModifiedBy>benjamin.riddell-young</cp:lastModifiedBy>
  <dcterms:created xsi:type="dcterms:W3CDTF">2024-11-29T21:18:48Z</dcterms:created>
  <dcterms:modified xsi:type="dcterms:W3CDTF">2024-11-29T22:37:44Z</dcterms:modified>
</cp:coreProperties>
</file>