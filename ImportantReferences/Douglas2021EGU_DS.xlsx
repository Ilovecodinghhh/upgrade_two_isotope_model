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8705"/>
  <workbookPr showInkAnnotation="0" autoCompressPictures="0"/>
  <bookViews>
    <workbookView xWindow="500" yWindow="0" windowWidth="24760" windowHeight="14840" tabRatio="500" activeTab="3"/>
  </bookViews>
  <sheets>
    <sheet name="Table S1" sheetId="4" r:id="rId1"/>
    <sheet name="Table S2" sheetId="2" r:id="rId2"/>
    <sheet name="Table S3" sheetId="3" r:id="rId3"/>
    <sheet name="Table S4" sheetId="5" r:id="rId4"/>
  </sheets>
  <calcPr calcId="140000" concurrentCalc="0"/>
  <extLst>
    <ext xmlns:mx="http://schemas.microsoft.com/office/mac/excel/2008/main" uri="{7523E5D3-25F3-A5E0-1632-64F254C22452}">
      <mx:ArchID Flags="2"/>
    </ext>
  </extLst>
</workbook>
</file>

<file path=xl/calcChain.xml><?xml version="1.0" encoding="utf-8"?>
<calcChain xmlns="http://schemas.openxmlformats.org/spreadsheetml/2006/main">
  <c r="AA25" i="4" l="1"/>
  <c r="AA131" i="4"/>
  <c r="T131" i="4"/>
  <c r="AA130" i="4"/>
  <c r="T130" i="4"/>
  <c r="AA129" i="4"/>
  <c r="T129" i="4"/>
  <c r="AA128" i="4"/>
  <c r="T128" i="4"/>
  <c r="AA127" i="4"/>
  <c r="T127" i="4"/>
  <c r="AB126" i="4"/>
  <c r="AA126" i="4"/>
  <c r="T126" i="4"/>
  <c r="O125" i="4"/>
  <c r="AB125" i="4"/>
  <c r="AA125" i="4"/>
  <c r="Q125" i="4"/>
  <c r="T125" i="4"/>
  <c r="S125" i="4"/>
  <c r="P125" i="4"/>
  <c r="N125" i="4"/>
  <c r="AB124" i="4"/>
  <c r="AA124" i="4"/>
  <c r="T124" i="4"/>
  <c r="AB123" i="4"/>
  <c r="AA123" i="4"/>
  <c r="T123" i="4"/>
  <c r="AA122" i="4"/>
  <c r="AA121" i="4"/>
  <c r="AA120" i="4"/>
  <c r="AA119" i="4"/>
  <c r="AA118" i="4"/>
  <c r="AA117" i="4"/>
  <c r="AA116" i="4"/>
  <c r="AA115" i="4"/>
  <c r="AB114" i="4"/>
  <c r="AA114" i="4"/>
  <c r="AB113" i="4"/>
  <c r="AA113" i="4"/>
  <c r="T113" i="4"/>
  <c r="AB112" i="4"/>
  <c r="AA112" i="4"/>
  <c r="T112" i="4"/>
  <c r="AB111" i="4"/>
  <c r="AA111" i="4"/>
  <c r="AB110" i="4"/>
  <c r="AA110" i="4"/>
  <c r="T110" i="4"/>
  <c r="AB109" i="4"/>
  <c r="AA109" i="4"/>
  <c r="T109" i="4"/>
  <c r="AB108" i="4"/>
  <c r="AA108" i="4"/>
  <c r="T108" i="4"/>
  <c r="O107" i="4"/>
  <c r="U107" i="4"/>
  <c r="AB107" i="4"/>
  <c r="AA107" i="4"/>
  <c r="W107" i="4"/>
  <c r="Q107" i="4"/>
  <c r="T107" i="4"/>
  <c r="S107" i="4"/>
  <c r="P107" i="4"/>
  <c r="N107" i="4"/>
  <c r="AA106" i="4"/>
  <c r="AA105" i="4"/>
  <c r="AA104" i="4"/>
  <c r="AA103" i="4"/>
  <c r="AA102" i="4"/>
  <c r="AB101" i="4"/>
  <c r="AA101" i="4"/>
  <c r="N101" i="4"/>
  <c r="M101" i="4"/>
  <c r="AA100" i="4"/>
  <c r="N100" i="4"/>
  <c r="M100" i="4"/>
  <c r="AB99" i="4"/>
  <c r="AA99" i="4"/>
  <c r="N99" i="4"/>
  <c r="M99" i="4"/>
  <c r="AA98" i="4"/>
  <c r="AA97" i="4"/>
  <c r="AB96" i="4"/>
  <c r="AA96" i="4"/>
  <c r="AB95" i="4"/>
  <c r="AA95" i="4"/>
  <c r="AB94" i="4"/>
  <c r="AA94" i="4"/>
  <c r="T94" i="4"/>
  <c r="AB93" i="4"/>
  <c r="AA93" i="4"/>
  <c r="T93" i="4"/>
  <c r="AB92" i="4"/>
  <c r="AA92" i="4"/>
  <c r="T92" i="4"/>
  <c r="AB91" i="4"/>
  <c r="AA91" i="4"/>
  <c r="T91" i="4"/>
  <c r="AB90" i="4"/>
  <c r="AA90" i="4"/>
  <c r="T90" i="4"/>
  <c r="AB89" i="4"/>
  <c r="AA89" i="4"/>
  <c r="T89" i="4"/>
  <c r="AB88" i="4"/>
  <c r="AA88" i="4"/>
  <c r="T88" i="4"/>
  <c r="AB87" i="4"/>
  <c r="AA87" i="4"/>
  <c r="T87" i="4"/>
  <c r="AB86" i="4"/>
  <c r="AA86" i="4"/>
  <c r="Q86" i="4"/>
  <c r="M86" i="4"/>
  <c r="T86" i="4"/>
  <c r="P86" i="4"/>
  <c r="N86" i="4"/>
  <c r="AA85" i="4"/>
  <c r="T85" i="4"/>
  <c r="AA84" i="4"/>
  <c r="T84" i="4"/>
  <c r="AA83" i="4"/>
  <c r="T83" i="4"/>
  <c r="AB82" i="4"/>
  <c r="AA82" i="4"/>
  <c r="T82" i="4"/>
  <c r="AB81" i="4"/>
  <c r="AA81" i="4"/>
  <c r="T81" i="4"/>
  <c r="O80" i="4"/>
  <c r="AB80" i="4"/>
  <c r="AA80" i="4"/>
  <c r="Q80" i="4"/>
  <c r="T80" i="4"/>
  <c r="S80" i="4"/>
  <c r="P80" i="4"/>
  <c r="N80" i="4"/>
  <c r="AA79" i="4"/>
  <c r="AB78" i="4"/>
  <c r="AA78" i="4"/>
  <c r="T78" i="4"/>
  <c r="AB77" i="4"/>
  <c r="AA77" i="4"/>
  <c r="AB76" i="4"/>
  <c r="AA76" i="4"/>
  <c r="T76" i="4"/>
  <c r="AA75" i="4"/>
  <c r="AB74" i="4"/>
  <c r="AA74" i="4"/>
  <c r="AB73" i="4"/>
  <c r="AA73" i="4"/>
  <c r="T73" i="4"/>
  <c r="AB72" i="4"/>
  <c r="AA72" i="4"/>
  <c r="T72" i="4"/>
  <c r="AB71" i="4"/>
  <c r="AA71" i="4"/>
  <c r="T71" i="4"/>
  <c r="AB70" i="4"/>
  <c r="AA70" i="4"/>
  <c r="T70" i="4"/>
  <c r="AB69" i="4"/>
  <c r="AA69" i="4"/>
  <c r="T69" i="4"/>
  <c r="AA68" i="4"/>
  <c r="AA67" i="4"/>
  <c r="AA66" i="4"/>
  <c r="AA65" i="4"/>
  <c r="AB64" i="4"/>
  <c r="AA64" i="4"/>
  <c r="T64" i="4"/>
  <c r="AA63" i="4"/>
  <c r="AA62" i="4"/>
  <c r="AB61" i="4"/>
  <c r="AA61" i="4"/>
  <c r="T61" i="4"/>
  <c r="AB60" i="4"/>
  <c r="AA60" i="4"/>
  <c r="AA59" i="4"/>
  <c r="AB58" i="4"/>
  <c r="AA58" i="4"/>
  <c r="AA57" i="4"/>
  <c r="T57" i="4"/>
  <c r="AA56" i="4"/>
  <c r="AA55" i="4"/>
  <c r="AA54" i="4"/>
  <c r="T54" i="4"/>
  <c r="AA53" i="4"/>
  <c r="T53" i="4"/>
  <c r="AB52" i="4"/>
  <c r="AA52" i="4"/>
  <c r="T52" i="4"/>
  <c r="AA51" i="4"/>
  <c r="T51" i="4"/>
  <c r="AB50" i="4"/>
  <c r="AA50" i="4"/>
  <c r="P50" i="4"/>
  <c r="AB49" i="4"/>
  <c r="AA49" i="4"/>
  <c r="T49" i="4"/>
  <c r="AB48" i="4"/>
  <c r="AA48" i="4"/>
  <c r="T48" i="4"/>
  <c r="AB47" i="4"/>
  <c r="AA47" i="4"/>
  <c r="T47" i="4"/>
  <c r="AB46" i="4"/>
  <c r="AA46" i="4"/>
  <c r="AA45" i="4"/>
  <c r="AA44" i="4"/>
  <c r="AA43" i="4"/>
  <c r="AB42" i="4"/>
  <c r="AA42" i="4"/>
  <c r="T42" i="4"/>
  <c r="O41" i="4"/>
  <c r="AB41" i="4"/>
  <c r="AA41" i="4"/>
  <c r="M41" i="4"/>
  <c r="AB40" i="4"/>
  <c r="AA40" i="4"/>
  <c r="M37" i="4"/>
  <c r="AB39" i="4"/>
  <c r="AA39" i="4"/>
  <c r="AB38" i="4"/>
  <c r="AA38" i="4"/>
  <c r="T38" i="4"/>
  <c r="O37" i="4"/>
  <c r="AB37" i="4"/>
  <c r="AA37" i="4"/>
  <c r="P37" i="4"/>
  <c r="N37" i="4"/>
  <c r="AA36" i="4"/>
  <c r="AA35" i="4"/>
  <c r="AA34" i="4"/>
  <c r="AB33" i="4"/>
  <c r="AA33" i="4"/>
  <c r="T33" i="4"/>
  <c r="AA32" i="4"/>
  <c r="O31" i="4"/>
  <c r="AA31" i="4"/>
  <c r="P31" i="4"/>
  <c r="N31" i="4"/>
  <c r="M31" i="4"/>
  <c r="AA30" i="4"/>
  <c r="AA29" i="4"/>
  <c r="AA28" i="4"/>
  <c r="AB27" i="4"/>
  <c r="AA27" i="4"/>
  <c r="T27" i="4"/>
  <c r="AB26" i="4"/>
  <c r="AA26" i="4"/>
  <c r="T26" i="4"/>
  <c r="AA24" i="4"/>
  <c r="AA23" i="4"/>
  <c r="AA22" i="4"/>
  <c r="AB21" i="4"/>
  <c r="AA21" i="4"/>
  <c r="T21" i="4"/>
  <c r="AB20" i="4"/>
  <c r="AA20" i="4"/>
  <c r="T20" i="4"/>
  <c r="AA19" i="4"/>
  <c r="AA18" i="4"/>
  <c r="AA17" i="4"/>
  <c r="AA16" i="4"/>
  <c r="AA15" i="4"/>
  <c r="AA14" i="4"/>
  <c r="T14" i="4"/>
  <c r="AA13" i="4"/>
  <c r="T13" i="4"/>
  <c r="AA12" i="4"/>
  <c r="T12" i="4"/>
  <c r="AA11" i="4"/>
  <c r="T11" i="4"/>
  <c r="AA10" i="4"/>
  <c r="T10" i="4"/>
  <c r="AB9" i="4"/>
  <c r="AA9" i="4"/>
  <c r="AA8" i="4"/>
  <c r="T8" i="4"/>
  <c r="AB7" i="4"/>
  <c r="AA7" i="4"/>
  <c r="T7" i="4"/>
  <c r="AA6" i="4"/>
  <c r="T6" i="4"/>
  <c r="AB5" i="4"/>
  <c r="AA5" i="4"/>
  <c r="T5" i="4"/>
  <c r="AA4" i="4"/>
  <c r="T4" i="4"/>
  <c r="AA3" i="4"/>
  <c r="T3" i="4"/>
</calcChain>
</file>

<file path=xl/sharedStrings.xml><?xml version="1.0" encoding="utf-8"?>
<sst xmlns="http://schemas.openxmlformats.org/spreadsheetml/2006/main" count="966" uniqueCount="300">
  <si>
    <t>Table S1: Dataset of Freshwater Environment Isotopic Values, By Site</t>
  </si>
  <si>
    <t>Citation</t>
  </si>
  <si>
    <t>Geographic Descriptor</t>
  </si>
  <si>
    <t>Environment</t>
  </si>
  <si>
    <t>Ecosystem</t>
  </si>
  <si>
    <t>Sample Type</t>
  </si>
  <si>
    <t>Data Source</t>
  </si>
  <si>
    <r>
      <t>n (CH</t>
    </r>
    <r>
      <rPr>
        <vertAlign val="subscript"/>
        <sz val="11"/>
        <color theme="1"/>
        <rFont val="Calibri"/>
        <scheme val="minor"/>
      </rPr>
      <t>4</t>
    </r>
    <r>
      <rPr>
        <sz val="11"/>
        <color theme="1"/>
        <rFont val="Calibri"/>
        <scheme val="minor"/>
      </rPr>
      <t>)</t>
    </r>
  </si>
  <si>
    <r>
      <rPr>
        <sz val="11"/>
        <color theme="1"/>
        <rFont val="Symbol"/>
      </rPr>
      <t>d</t>
    </r>
    <r>
      <rPr>
        <vertAlign val="superscript"/>
        <sz val="11"/>
        <color theme="1"/>
        <rFont val="Calibri"/>
        <scheme val="minor"/>
      </rPr>
      <t>13</t>
    </r>
    <r>
      <rPr>
        <sz val="11"/>
        <color theme="1"/>
        <rFont val="Calibri"/>
        <scheme val="minor"/>
      </rPr>
      <t>C-CH</t>
    </r>
    <r>
      <rPr>
        <vertAlign val="subscript"/>
        <sz val="11"/>
        <color theme="1"/>
        <rFont val="Calibri"/>
        <scheme val="minor"/>
      </rPr>
      <t>4</t>
    </r>
  </si>
  <si>
    <t>s</t>
  </si>
  <si>
    <r>
      <rPr>
        <sz val="11"/>
        <color theme="1"/>
        <rFont val="Symbol"/>
      </rPr>
      <t>d</t>
    </r>
    <r>
      <rPr>
        <vertAlign val="superscript"/>
        <sz val="11"/>
        <color theme="1"/>
        <rFont val="Calibri"/>
        <scheme val="minor"/>
      </rPr>
      <t>2</t>
    </r>
    <r>
      <rPr>
        <sz val="11"/>
        <color theme="1"/>
        <rFont val="Calibri"/>
        <scheme val="minor"/>
      </rPr>
      <t>H-CH</t>
    </r>
    <r>
      <rPr>
        <vertAlign val="subscript"/>
        <sz val="11"/>
        <color theme="1"/>
        <rFont val="Calibri"/>
        <scheme val="minor"/>
      </rPr>
      <t>4</t>
    </r>
  </si>
  <si>
    <r>
      <rPr>
        <sz val="11"/>
        <color theme="1"/>
        <rFont val="Symbol"/>
      </rPr>
      <t>d</t>
    </r>
    <r>
      <rPr>
        <vertAlign val="superscript"/>
        <sz val="11"/>
        <color theme="1"/>
        <rFont val="Calibri"/>
        <scheme val="minor"/>
      </rPr>
      <t>13</t>
    </r>
    <r>
      <rPr>
        <sz val="11"/>
        <color theme="1"/>
        <rFont val="Calibri"/>
        <scheme val="minor"/>
      </rPr>
      <t>C-CO</t>
    </r>
    <r>
      <rPr>
        <vertAlign val="subscript"/>
        <sz val="11"/>
        <color theme="1"/>
        <rFont val="Calibri"/>
        <scheme val="minor"/>
      </rPr>
      <t>2</t>
    </r>
  </si>
  <si>
    <t>n</t>
  </si>
  <si>
    <r>
      <t>a</t>
    </r>
    <r>
      <rPr>
        <vertAlign val="subscript"/>
        <sz val="11"/>
        <color theme="1"/>
        <rFont val="Calibri"/>
      </rPr>
      <t>c</t>
    </r>
  </si>
  <si>
    <r>
      <rPr>
        <sz val="11"/>
        <color theme="1"/>
        <rFont val="Symbol"/>
      </rPr>
      <t>d</t>
    </r>
    <r>
      <rPr>
        <vertAlign val="superscript"/>
        <sz val="11"/>
        <color theme="1"/>
        <rFont val="Calibri"/>
        <scheme val="minor"/>
      </rPr>
      <t>2</t>
    </r>
    <r>
      <rPr>
        <sz val="11"/>
        <color theme="1"/>
        <rFont val="Calibri"/>
        <scheme val="minor"/>
      </rPr>
      <t>H-H</t>
    </r>
    <r>
      <rPr>
        <vertAlign val="subscript"/>
        <sz val="11"/>
        <color theme="1"/>
        <rFont val="Calibri"/>
        <scheme val="minor"/>
      </rPr>
      <t>2</t>
    </r>
    <r>
      <rPr>
        <sz val="11"/>
        <color theme="1"/>
        <rFont val="Calibri"/>
        <scheme val="minor"/>
      </rPr>
      <t>O</t>
    </r>
    <r>
      <rPr>
        <vertAlign val="subscript"/>
        <sz val="11"/>
        <color theme="1"/>
        <rFont val="Calibri"/>
        <scheme val="minor"/>
      </rPr>
      <t>m</t>
    </r>
  </si>
  <si>
    <t>L. do R. Padajos, Brazil</t>
  </si>
  <si>
    <t>Inland Water</t>
  </si>
  <si>
    <t>River (floodplain lake)</t>
  </si>
  <si>
    <t>Gas-Ebullition and Diffusion Flux</t>
  </si>
  <si>
    <t>Table</t>
  </si>
  <si>
    <t>Wassmann, et al. (1992)</t>
  </si>
  <si>
    <t>Central Amazon near Manaus, Brazil</t>
  </si>
  <si>
    <t>Gas-Ebullition</t>
  </si>
  <si>
    <t>P. do P. Copea, Brazil</t>
  </si>
  <si>
    <t>Diffusion Flux</t>
  </si>
  <si>
    <t>L. Jacatra, Brazil</t>
  </si>
  <si>
    <t>L. Igreja, Brazil</t>
  </si>
  <si>
    <t>L. Iriana, Brazil</t>
  </si>
  <si>
    <t>Schoell (1983)</t>
  </si>
  <si>
    <t>Lake Kivu, Rwanda</t>
  </si>
  <si>
    <t>Lake</t>
  </si>
  <si>
    <t>Dissolved-Sediment</t>
  </si>
  <si>
    <t>Nakagawa, et al. (2002)</t>
  </si>
  <si>
    <t>To Daeng Swamp, Thailand</t>
  </si>
  <si>
    <t>Wetland</t>
  </si>
  <si>
    <t>Swamp</t>
  </si>
  <si>
    <t>Peat Rice Paddy, Thailand</t>
  </si>
  <si>
    <t>Rice Paddy</t>
  </si>
  <si>
    <t>Mineral Rice Paddy, Thailand</t>
  </si>
  <si>
    <t>Bo Nara River, Thailand</t>
  </si>
  <si>
    <t>River</t>
  </si>
  <si>
    <t>Bacho Swamp, Thailand</t>
  </si>
  <si>
    <t>Happell &amp; Chanton (1993)</t>
  </si>
  <si>
    <t>Everglades National Park, FL, USA</t>
  </si>
  <si>
    <t>Marsh</t>
  </si>
  <si>
    <t>Burke et al. (1988)</t>
  </si>
  <si>
    <t>Graph</t>
  </si>
  <si>
    <t>South Florida Water Management District 3a, FL, USA</t>
  </si>
  <si>
    <t>Big Cypress Preserve, FL, USA</t>
  </si>
  <si>
    <t>Crescent Lake  FL, USA</t>
  </si>
  <si>
    <t>Burke et al. (1992)</t>
  </si>
  <si>
    <t>St. Petersburg, FL, USA</t>
  </si>
  <si>
    <t>Lake Maggiore, FL, USA</t>
  </si>
  <si>
    <t>Sawgrass Lake, FL, USA</t>
  </si>
  <si>
    <t>Lake Dias FL, USA</t>
  </si>
  <si>
    <t>Mississippi River Delta, LA, USA</t>
  </si>
  <si>
    <t>River (Delta)</t>
  </si>
  <si>
    <t>Tyler et al. (1997)</t>
  </si>
  <si>
    <t>Beaumont, TX, USA</t>
  </si>
  <si>
    <t>Wahlen (1994)</t>
  </si>
  <si>
    <t xml:space="preserve"> Rice Fields, LA, USA</t>
  </si>
  <si>
    <t>NS</t>
  </si>
  <si>
    <t>Happell et al. (1994)</t>
  </si>
  <si>
    <t>St Marks NWR FL, USA</t>
  </si>
  <si>
    <t>Gas and Diffusive Flux</t>
  </si>
  <si>
    <t>Chanton et al. (1997)</t>
  </si>
  <si>
    <t>Crowley, LA, USA</t>
  </si>
  <si>
    <t>Bergamaschi (1997)</t>
  </si>
  <si>
    <t>Suzhou, China</t>
  </si>
  <si>
    <t>Burke &amp; Sackett (1986)</t>
  </si>
  <si>
    <t>Kilmer Pond, SC, USA</t>
  </si>
  <si>
    <t>Stolper et al. (2015)</t>
  </si>
  <si>
    <t>Caltech Pond, CA, USA</t>
  </si>
  <si>
    <t>Pond</t>
  </si>
  <si>
    <t>Burke &amp; Sackett (1991)</t>
  </si>
  <si>
    <t>Lake Petit, GA, USA</t>
  </si>
  <si>
    <t xml:space="preserve">Lake </t>
  </si>
  <si>
    <t xml:space="preserve"> Peat Bog, WV, USA</t>
  </si>
  <si>
    <t>Bog</t>
  </si>
  <si>
    <t>Wang et al. (2015)</t>
  </si>
  <si>
    <t>Atlantic White Cedar Swamp, MA, USA</t>
  </si>
  <si>
    <t>Dissolved</t>
  </si>
  <si>
    <t>Hornibrook et al. (1997)</t>
  </si>
  <si>
    <t>Point Pelee ON, Canada</t>
  </si>
  <si>
    <t>Dissolved-Pore Water</t>
  </si>
  <si>
    <t>Whiticar et al. (1986)</t>
  </si>
  <si>
    <t>Volo Bog, IL, USA</t>
  </si>
  <si>
    <t>Lower Mystic Lake, MA, USA</t>
  </si>
  <si>
    <t>Sifton Bog, ON, Canada</t>
  </si>
  <si>
    <t xml:space="preserve"> Wetlands, NY, USA</t>
  </si>
  <si>
    <t>Marik et al. (2002)</t>
  </si>
  <si>
    <t>Vercelli, Italy</t>
  </si>
  <si>
    <t>Levin et al. (1993)</t>
  </si>
  <si>
    <t>Diffusive Flux</t>
  </si>
  <si>
    <t>Alstad &amp; Whiticar (2011)</t>
  </si>
  <si>
    <t>Mer Bleue, ON, Canada</t>
  </si>
  <si>
    <t>Dissolved-Pore water</t>
  </si>
  <si>
    <t>3850 Bog, MN, USA</t>
  </si>
  <si>
    <t>S-4 Bog, MN, USA</t>
  </si>
  <si>
    <t>S-2 Bog, MN, USA</t>
  </si>
  <si>
    <t>Bena, MN, USA</t>
  </si>
  <si>
    <t>Lansdown et al. (1992)</t>
  </si>
  <si>
    <t>Kings Lake Bog, WA, USA</t>
  </si>
  <si>
    <t>Woltemate et al. (1984)</t>
  </si>
  <si>
    <t>Lake Starnberg, Germany</t>
  </si>
  <si>
    <t>Chasar et al.  (2000)</t>
  </si>
  <si>
    <t>Upper Red Lake, MN, USA</t>
  </si>
  <si>
    <t>Fen</t>
  </si>
  <si>
    <t>Upper Red Lake MN, USA</t>
  </si>
  <si>
    <t>Heidelberg, Germany</t>
  </si>
  <si>
    <t>Sakagami et al. (2012)</t>
  </si>
  <si>
    <t>Lake Baikal, Russia</t>
  </si>
  <si>
    <t>Dissolved- Pore Water</t>
  </si>
  <si>
    <t>Altwarmb Moor, Germany</t>
  </si>
  <si>
    <t>Popp et al. (1999)</t>
  </si>
  <si>
    <t>Meanook Research Station, AB, Canada</t>
  </si>
  <si>
    <t>Lac LaBiche, AB, Canada</t>
  </si>
  <si>
    <t>Waldron et al. (1999)</t>
  </si>
  <si>
    <t>Ellergower Moss, SW Scotland, UK</t>
  </si>
  <si>
    <t>Bellisario et al. (1999)</t>
  </si>
  <si>
    <t>Thompson, MB, Canada</t>
  </si>
  <si>
    <t>Tundra wetland, MB, Canada</t>
  </si>
  <si>
    <t>Chanton et al. (2006)</t>
  </si>
  <si>
    <t>Turnagain Site, AK, USA</t>
  </si>
  <si>
    <t>Martens et al. (1992)</t>
  </si>
  <si>
    <t>Radar Lake, AK, USA</t>
  </si>
  <si>
    <t>Tundra Ridge Lake, AK, USA</t>
  </si>
  <si>
    <t>Pingo Pond, AK, USA</t>
  </si>
  <si>
    <t>Lake ABLE, AK, USA</t>
  </si>
  <si>
    <t>Nakagawa et al. (2002)</t>
  </si>
  <si>
    <t>East Siberia Radio Station 2, Russia</t>
  </si>
  <si>
    <t>East Siberia Radio Station 1, Russia</t>
  </si>
  <si>
    <t>East Siberia Magan, Russia</t>
  </si>
  <si>
    <t>East Siberia Kyordleglaf, Russia</t>
  </si>
  <si>
    <t>East Siberia Small Chabida, Russia</t>
  </si>
  <si>
    <t>Brosius et al. (2012)</t>
  </si>
  <si>
    <t>Carmacks 1, YK, Canada</t>
  </si>
  <si>
    <t>Carmacks 2, YK, Canada</t>
  </si>
  <si>
    <t>Fen 62, AK, USA</t>
  </si>
  <si>
    <t>Dawson Lake, YK, Canada</t>
  </si>
  <si>
    <t>Bonanza Mix, AK, USA</t>
  </si>
  <si>
    <t>Walter et al. (2008)</t>
  </si>
  <si>
    <t>Rosie Creek Beaver Pond, AK, USA</t>
  </si>
  <si>
    <t>Beaver Sports Hollow, AK, USA</t>
  </si>
  <si>
    <t>Smith Lake Carex, AK, USA</t>
  </si>
  <si>
    <t>UAF Bog, AK, USA</t>
  </si>
  <si>
    <t>Douglas et al. (2016)</t>
  </si>
  <si>
    <t>Smith Lake, AK, USA</t>
  </si>
  <si>
    <t>Killarney Lake, AK, USA</t>
  </si>
  <si>
    <t>Doughnut Lake, AK, USA</t>
  </si>
  <si>
    <t>Goldstream Lake AK, USA</t>
  </si>
  <si>
    <t xml:space="preserve">Discont Perm Sphagnum,AK, USA </t>
  </si>
  <si>
    <t>Discont Perm Carex, AK, USA</t>
  </si>
  <si>
    <t>Kim Lake, AK, USA</t>
  </si>
  <si>
    <t>Three Loon Lake, AK, USA</t>
  </si>
  <si>
    <t>Claudi Lake, AK, USA</t>
  </si>
  <si>
    <t>Cocker Gap, AK, USA</t>
  </si>
  <si>
    <t>Jaeger Lake AK, USA</t>
  </si>
  <si>
    <t>Rhonda Lake, AK, USA</t>
  </si>
  <si>
    <t>Cadieux et al. (2016)</t>
  </si>
  <si>
    <t xml:space="preserve"> EVV Upper Lake, Greenland</t>
  </si>
  <si>
    <t xml:space="preserve"> Potentilla Lake, Greenland</t>
  </si>
  <si>
    <t xml:space="preserve"> Teardrop Lake Greenland</t>
  </si>
  <si>
    <t>Thompson et al. (2016)</t>
  </si>
  <si>
    <t>Greenland, near Kangerlussuaq</t>
  </si>
  <si>
    <t>Gas and dissolved</t>
  </si>
  <si>
    <t>Villasjon, Sweden</t>
  </si>
  <si>
    <t>Inre Harsjjon, Sweden</t>
  </si>
  <si>
    <t>MellerstaHarsjjon, Sweden</t>
  </si>
  <si>
    <t>North Slope E1, AK, USA</t>
  </si>
  <si>
    <t>Gas-Ice</t>
  </si>
  <si>
    <t>North Slope Alaska E6, USA</t>
  </si>
  <si>
    <t>North Slope Alaska N2, USA</t>
  </si>
  <si>
    <t>North Slope Alaska N3, USA</t>
  </si>
  <si>
    <t>North Slope Alaska NE2 USA</t>
  </si>
  <si>
    <t>Galbraith Lake, AK, USA</t>
  </si>
  <si>
    <t>Gas- Ebullition</t>
  </si>
  <si>
    <t>Immnaviat Creek Carex, AK, USA</t>
  </si>
  <si>
    <t>Immnaviat Creek Sphagnum, AK, USA</t>
  </si>
  <si>
    <t>Lecher et al. (2017)</t>
  </si>
  <si>
    <t>Toolik Lake, AK, USA</t>
  </si>
  <si>
    <t>Dissolved-Lake</t>
  </si>
  <si>
    <t>Northeast Siberia (Tube Dispenser Lake), Russia</t>
  </si>
  <si>
    <t>Northeast Siberia (Shuchi Lake), Russia</t>
  </si>
  <si>
    <t>Northeast Siberia (Grass Lake), Russia</t>
  </si>
  <si>
    <t>Northeast Siberia (Tower Road Yedoma Pond 2), Russia</t>
  </si>
  <si>
    <t>Northeast Siberia (Tower Road Yedoma Pond 3), Russia</t>
  </si>
  <si>
    <t>Northeast Siberia (Kitchen Sand Pond 1), Russia</t>
  </si>
  <si>
    <t>Northeast Siberia (Volodya Sand Pond 1), Russia</t>
  </si>
  <si>
    <t>Northeast Siberia (Meadow Lake), Russia</t>
  </si>
  <si>
    <t>Northeast Siberia (Tundra Floodplain Lake), Russia</t>
  </si>
  <si>
    <t>Walter et al. (2006)</t>
  </si>
  <si>
    <t>North Siberia, Russia</t>
  </si>
  <si>
    <t>Zimov et al. (1997)</t>
  </si>
  <si>
    <t>Near Cherskii, North Siberia, Russia</t>
  </si>
  <si>
    <t>Pipeline 70 Fen, AK, USA</t>
  </si>
  <si>
    <t>Franklin Bluff Fen, AK, Usa</t>
  </si>
  <si>
    <t>210 Km N Atigan AK, USA</t>
  </si>
  <si>
    <t>Bouchard et al. (2015)</t>
  </si>
  <si>
    <t>Bylot Island, NT, Canada (trough pond)</t>
  </si>
  <si>
    <t>Bylot Island, NT, Canada (thermokarst lake)</t>
  </si>
  <si>
    <t>Bylot Island, NT, Canada (kettle lake)</t>
  </si>
  <si>
    <t>Bylot Island, NT, Canada (polygonal pond)</t>
  </si>
  <si>
    <t>NS- Not specified</t>
  </si>
  <si>
    <r>
      <t xml:space="preserve">Table S3: </t>
    </r>
    <r>
      <rPr>
        <sz val="12"/>
        <color theme="1"/>
        <rFont val="Symbol"/>
      </rPr>
      <t>d</t>
    </r>
    <r>
      <rPr>
        <vertAlign val="superscript"/>
        <sz val="12"/>
        <color theme="1"/>
        <rFont val="Calibri"/>
        <scheme val="minor"/>
      </rPr>
      <t>2</t>
    </r>
    <r>
      <rPr>
        <sz val="12"/>
        <color theme="1"/>
        <rFont val="Calibri"/>
        <family val="2"/>
        <scheme val="minor"/>
      </rPr>
      <t>H-CH</t>
    </r>
    <r>
      <rPr>
        <vertAlign val="subscript"/>
        <sz val="12"/>
        <color theme="1"/>
        <rFont val="Calibri"/>
        <scheme val="minor"/>
      </rPr>
      <t>4</t>
    </r>
    <r>
      <rPr>
        <sz val="12"/>
        <color theme="1"/>
        <rFont val="Calibri"/>
        <family val="2"/>
        <scheme val="minor"/>
      </rPr>
      <t xml:space="preserve"> data for landfills and cow rumen shown in Figure 6</t>
    </r>
  </si>
  <si>
    <t>Location</t>
  </si>
  <si>
    <t>Latitude (º)</t>
  </si>
  <si>
    <t>Longitude (º)</t>
  </si>
  <si>
    <r>
      <rPr>
        <sz val="11"/>
        <color theme="1"/>
        <rFont val="Symbol"/>
      </rPr>
      <t>d</t>
    </r>
    <r>
      <rPr>
        <vertAlign val="superscript"/>
        <sz val="11"/>
        <color theme="1"/>
        <rFont val="Calibri"/>
        <scheme val="minor"/>
      </rPr>
      <t>2</t>
    </r>
    <r>
      <rPr>
        <sz val="11"/>
        <color theme="1"/>
        <rFont val="Calibri"/>
        <scheme val="minor"/>
      </rPr>
      <t>H-H</t>
    </r>
    <r>
      <rPr>
        <vertAlign val="subscript"/>
        <sz val="11"/>
        <color theme="1"/>
        <rFont val="Calibri"/>
        <scheme val="minor"/>
      </rPr>
      <t>2</t>
    </r>
    <r>
      <rPr>
        <sz val="11"/>
        <color theme="1"/>
        <rFont val="Calibri"/>
        <scheme val="minor"/>
      </rPr>
      <t>O</t>
    </r>
  </si>
  <si>
    <t>Landfills</t>
  </si>
  <si>
    <t>Wayland, MA, USA</t>
  </si>
  <si>
    <t>Liptay et al. (1998)</t>
  </si>
  <si>
    <t>Springfield, MA, USA</t>
  </si>
  <si>
    <t>Nashua, NH, USA</t>
  </si>
  <si>
    <t>Rochester, NH, USA</t>
  </si>
  <si>
    <t>Central England</t>
  </si>
  <si>
    <t>Teasdale et al. (2018)</t>
  </si>
  <si>
    <t>Cow Rumen</t>
  </si>
  <si>
    <t>State College, PA USA</t>
  </si>
  <si>
    <t>WA, USA</t>
  </si>
  <si>
    <t>NA</t>
  </si>
  <si>
    <t>Burke (1993)</t>
  </si>
  <si>
    <t>Tsukuba, Japan</t>
  </si>
  <si>
    <t>Bilek et al. (2001)</t>
  </si>
  <si>
    <t>NY, USA</t>
  </si>
  <si>
    <r>
      <rPr>
        <b/>
        <sz val="12"/>
        <color theme="1"/>
        <rFont val="Symbol"/>
      </rPr>
      <t>d</t>
    </r>
    <r>
      <rPr>
        <b/>
        <vertAlign val="superscript"/>
        <sz val="12"/>
        <color theme="1"/>
        <rFont val="Calibri"/>
        <scheme val="minor"/>
      </rPr>
      <t>2</t>
    </r>
    <r>
      <rPr>
        <b/>
        <sz val="12"/>
        <color theme="1"/>
        <rFont val="Calibri"/>
        <family val="2"/>
        <scheme val="minor"/>
      </rPr>
      <t>H-H</t>
    </r>
    <r>
      <rPr>
        <b/>
        <vertAlign val="subscript"/>
        <sz val="12"/>
        <color theme="1"/>
        <rFont val="Calibri"/>
        <scheme val="minor"/>
      </rPr>
      <t>2</t>
    </r>
    <r>
      <rPr>
        <b/>
        <sz val="12"/>
        <color theme="1"/>
        <rFont val="Calibri"/>
        <family val="2"/>
        <scheme val="minor"/>
      </rPr>
      <t>O of specific cow rumen water provided in study</t>
    </r>
  </si>
  <si>
    <r>
      <t xml:space="preserve">Estimated </t>
    </r>
    <r>
      <rPr>
        <i/>
        <sz val="12"/>
        <color theme="1"/>
        <rFont val="Symbol"/>
      </rPr>
      <t>d</t>
    </r>
    <r>
      <rPr>
        <i/>
        <vertAlign val="superscript"/>
        <sz val="12"/>
        <color theme="1"/>
        <rFont val="Calibri"/>
        <scheme val="minor"/>
      </rPr>
      <t>2</t>
    </r>
    <r>
      <rPr>
        <i/>
        <sz val="12"/>
        <color theme="1"/>
        <rFont val="Calibri"/>
        <scheme val="minor"/>
      </rPr>
      <t>H-H</t>
    </r>
    <r>
      <rPr>
        <i/>
        <vertAlign val="subscript"/>
        <sz val="12"/>
        <color theme="1"/>
        <rFont val="Calibri"/>
        <scheme val="minor"/>
      </rPr>
      <t>2</t>
    </r>
    <r>
      <rPr>
        <i/>
        <sz val="12"/>
        <color theme="1"/>
        <rFont val="Calibri"/>
        <scheme val="minor"/>
      </rPr>
      <t>O of local environmental water provided in the study</t>
    </r>
  </si>
  <si>
    <t>Number</t>
  </si>
  <si>
    <t>Year of Publication</t>
  </si>
  <si>
    <t>Gas  and dissolved</t>
  </si>
  <si>
    <t>Gas-sediments</t>
  </si>
  <si>
    <t>Mirror Lake FL</t>
  </si>
  <si>
    <t>Gas-sediment</t>
  </si>
  <si>
    <t>Graph/Table</t>
  </si>
  <si>
    <t>Gas- sediments and ebullition</t>
  </si>
  <si>
    <t>Upper Mystic Lake, MA, Usa</t>
  </si>
  <si>
    <t>uncertain</t>
  </si>
  <si>
    <t>Gas Ebullition</t>
  </si>
  <si>
    <t>Gas sediments</t>
  </si>
  <si>
    <t>Dissolved Pore Water</t>
  </si>
  <si>
    <t>Gas (ebulition)</t>
  </si>
  <si>
    <t>Gas-ebullition</t>
  </si>
  <si>
    <t>Dissolved-(Lake and Sediment)</t>
  </si>
  <si>
    <t>45K North Atigan AK, USA</t>
  </si>
  <si>
    <t>Gas-Ebullition and sediments</t>
  </si>
  <si>
    <t>Gas (sediments)</t>
  </si>
  <si>
    <t>162Km N AtiganAK, USA</t>
  </si>
  <si>
    <t>Cake Eater AK, USA</t>
  </si>
  <si>
    <t>Burke &amp; Sackett, (1986)/ Burke et al (1992)</t>
  </si>
  <si>
    <t>Burke &amp; Sackett, (1986)</t>
  </si>
  <si>
    <t>1986/1992</t>
  </si>
  <si>
    <t>Site included in Waldron et al., 1999a</t>
  </si>
  <si>
    <t>Yes</t>
  </si>
  <si>
    <t>Lansdown (1992)</t>
  </si>
  <si>
    <t>Latitude (° N)</t>
  </si>
  <si>
    <t>Longitude (° E)</t>
  </si>
  <si>
    <r>
      <rPr>
        <sz val="11"/>
        <color theme="1"/>
        <rFont val="Symbol"/>
      </rPr>
      <t>d</t>
    </r>
    <r>
      <rPr>
        <vertAlign val="superscript"/>
        <sz val="11"/>
        <color theme="1"/>
        <rFont val="Calibri"/>
        <scheme val="minor"/>
      </rPr>
      <t>2</t>
    </r>
    <r>
      <rPr>
        <sz val="11"/>
        <color theme="1"/>
        <rFont val="Calibri"/>
        <scheme val="minor"/>
      </rPr>
      <t>H</t>
    </r>
    <r>
      <rPr>
        <vertAlign val="subscript"/>
        <sz val="11"/>
        <color theme="1"/>
        <rFont val="Calibri"/>
        <scheme val="minor"/>
      </rPr>
      <t xml:space="preserve">p </t>
    </r>
    <r>
      <rPr>
        <sz val="11"/>
        <color theme="1"/>
        <rFont val="Calibri"/>
        <scheme val="minor"/>
      </rPr>
      <t>Growing Season</t>
    </r>
  </si>
  <si>
    <r>
      <rPr>
        <sz val="11"/>
        <color theme="1"/>
        <rFont val="Symbol"/>
      </rPr>
      <t>d</t>
    </r>
    <r>
      <rPr>
        <vertAlign val="superscript"/>
        <sz val="11"/>
        <color theme="1"/>
        <rFont val="Calibri"/>
        <scheme val="minor"/>
      </rPr>
      <t>2</t>
    </r>
    <r>
      <rPr>
        <sz val="11"/>
        <color theme="1"/>
        <rFont val="Calibri"/>
        <scheme val="minor"/>
      </rPr>
      <t>H</t>
    </r>
    <r>
      <rPr>
        <vertAlign val="subscript"/>
        <sz val="11"/>
        <color theme="1"/>
        <rFont val="Calibri"/>
        <scheme val="minor"/>
      </rPr>
      <t xml:space="preserve">p </t>
    </r>
    <r>
      <rPr>
        <sz val="11"/>
        <color theme="1"/>
        <rFont val="Calibri"/>
        <scheme val="minor"/>
      </rPr>
      <t>Annual</t>
    </r>
  </si>
  <si>
    <r>
      <rPr>
        <sz val="11"/>
        <color theme="1"/>
        <rFont val="Symbol"/>
      </rPr>
      <t>d</t>
    </r>
    <r>
      <rPr>
        <vertAlign val="superscript"/>
        <sz val="11"/>
        <color theme="1"/>
        <rFont val="Calibri"/>
        <scheme val="minor"/>
      </rPr>
      <t>2</t>
    </r>
    <r>
      <rPr>
        <sz val="11"/>
        <color theme="1"/>
        <rFont val="Calibri"/>
        <scheme val="minor"/>
      </rPr>
      <t>H-H</t>
    </r>
    <r>
      <rPr>
        <vertAlign val="subscript"/>
        <sz val="11"/>
        <color theme="1"/>
        <rFont val="Calibri"/>
        <scheme val="minor"/>
      </rPr>
      <t>2</t>
    </r>
    <r>
      <rPr>
        <sz val="11"/>
        <color theme="1"/>
        <rFont val="Calibri"/>
        <scheme val="minor"/>
      </rPr>
      <t>O Best Estimate</t>
    </r>
  </si>
  <si>
    <t>Best Estimate- See description in manuscript Section 3.2</t>
  </si>
  <si>
    <r>
      <t xml:space="preserve">All </t>
    </r>
    <r>
      <rPr>
        <sz val="12"/>
        <color theme="1"/>
        <rFont val="Symbol"/>
      </rPr>
      <t>d</t>
    </r>
    <r>
      <rPr>
        <vertAlign val="superscript"/>
        <sz val="12"/>
        <color theme="1"/>
        <rFont val="Calibri"/>
        <scheme val="minor"/>
      </rPr>
      <t>2</t>
    </r>
    <r>
      <rPr>
        <sz val="12"/>
        <color theme="1"/>
        <rFont val="Calibri"/>
        <family val="2"/>
        <scheme val="minor"/>
      </rPr>
      <t>H-H</t>
    </r>
    <r>
      <rPr>
        <vertAlign val="subscript"/>
        <sz val="12"/>
        <color theme="1"/>
        <rFont val="Calibri"/>
        <scheme val="minor"/>
      </rPr>
      <t>2</t>
    </r>
    <r>
      <rPr>
        <sz val="12"/>
        <color theme="1"/>
        <rFont val="Calibri"/>
        <family val="2"/>
        <scheme val="minor"/>
      </rPr>
      <t xml:space="preserve">O values are estimates based on modeled annual </t>
    </r>
    <r>
      <rPr>
        <sz val="12"/>
        <color theme="1"/>
        <rFont val="Symbol"/>
      </rPr>
      <t>d</t>
    </r>
    <r>
      <rPr>
        <vertAlign val="superscript"/>
        <sz val="12"/>
        <color theme="1"/>
        <rFont val="Calibri"/>
        <scheme val="minor"/>
      </rPr>
      <t>2</t>
    </r>
    <r>
      <rPr>
        <sz val="12"/>
        <color theme="1"/>
        <rFont val="Calibri"/>
        <family val="2"/>
        <scheme val="minor"/>
      </rPr>
      <t>H</t>
    </r>
    <r>
      <rPr>
        <vertAlign val="subscript"/>
        <sz val="12"/>
        <color theme="1"/>
        <rFont val="Calibri"/>
        <scheme val="minor"/>
      </rPr>
      <t>p</t>
    </r>
    <r>
      <rPr>
        <sz val="12"/>
        <color theme="1"/>
        <rFont val="Calibri"/>
        <family val="2"/>
        <scheme val="minor"/>
      </rPr>
      <t xml:space="preserve"> for location, except as noted below</t>
    </r>
  </si>
  <si>
    <t>Reported variances are all 1 sigma standard deviation</t>
  </si>
  <si>
    <t>RMSE</t>
  </si>
  <si>
    <t>p</t>
  </si>
  <si>
    <t>Wetlands</t>
  </si>
  <si>
    <t>Inland Waters</t>
  </si>
  <si>
    <t>SE</t>
  </si>
  <si>
    <r>
      <rPr>
        <b/>
        <sz val="11"/>
        <color theme="1"/>
        <rFont val="Symbol"/>
      </rPr>
      <t>d</t>
    </r>
    <r>
      <rPr>
        <b/>
        <vertAlign val="superscript"/>
        <sz val="11"/>
        <color theme="1"/>
        <rFont val="Calibri"/>
        <scheme val="minor"/>
      </rPr>
      <t>2</t>
    </r>
    <r>
      <rPr>
        <b/>
        <sz val="11"/>
        <color theme="1"/>
        <rFont val="Calibri"/>
        <scheme val="minor"/>
      </rPr>
      <t>H-H</t>
    </r>
    <r>
      <rPr>
        <b/>
        <vertAlign val="subscript"/>
        <sz val="11"/>
        <color theme="1"/>
        <rFont val="Calibri"/>
        <scheme val="minor"/>
      </rPr>
      <t>2</t>
    </r>
    <r>
      <rPr>
        <b/>
        <sz val="11"/>
        <color theme="1"/>
        <rFont val="Calibri"/>
        <scheme val="minor"/>
      </rPr>
      <t>O Best Estimate</t>
    </r>
  </si>
  <si>
    <t>d2H-H2O measured only</t>
  </si>
  <si>
    <r>
      <rPr>
        <b/>
        <sz val="11"/>
        <color theme="1"/>
        <rFont val="Symbol"/>
      </rPr>
      <t>d</t>
    </r>
    <r>
      <rPr>
        <b/>
        <vertAlign val="superscript"/>
        <sz val="11"/>
        <color theme="1"/>
        <rFont val="Calibri"/>
        <scheme val="minor"/>
      </rPr>
      <t>2</t>
    </r>
    <r>
      <rPr>
        <b/>
        <sz val="11"/>
        <color theme="1"/>
        <rFont val="Calibri"/>
        <scheme val="minor"/>
      </rPr>
      <t>H</t>
    </r>
    <r>
      <rPr>
        <b/>
        <vertAlign val="subscript"/>
        <sz val="11"/>
        <color theme="1"/>
        <rFont val="Calibri"/>
        <scheme val="minor"/>
      </rPr>
      <t xml:space="preserve">p </t>
    </r>
    <r>
      <rPr>
        <b/>
        <sz val="11"/>
        <color theme="1"/>
        <rFont val="Calibri"/>
        <scheme val="minor"/>
      </rPr>
      <t>Growing Season</t>
    </r>
  </si>
  <si>
    <r>
      <rPr>
        <b/>
        <sz val="11"/>
        <color theme="1"/>
        <rFont val="Symbol"/>
      </rPr>
      <t>d</t>
    </r>
    <r>
      <rPr>
        <b/>
        <vertAlign val="superscript"/>
        <sz val="11"/>
        <color theme="1"/>
        <rFont val="Calibri"/>
        <scheme val="minor"/>
      </rPr>
      <t>2</t>
    </r>
    <r>
      <rPr>
        <b/>
        <sz val="11"/>
        <color theme="1"/>
        <rFont val="Calibri"/>
        <scheme val="minor"/>
      </rPr>
      <t>H</t>
    </r>
    <r>
      <rPr>
        <b/>
        <vertAlign val="subscript"/>
        <sz val="11"/>
        <color theme="1"/>
        <rFont val="Calibri"/>
        <scheme val="minor"/>
      </rPr>
      <t xml:space="preserve">p </t>
    </r>
    <r>
      <rPr>
        <b/>
        <sz val="11"/>
        <color theme="1"/>
        <rFont val="Calibri"/>
        <scheme val="minor"/>
      </rPr>
      <t>Annual</t>
    </r>
  </si>
  <si>
    <t>Culture Experiments</t>
  </si>
  <si>
    <t>In-vitro line (incubation experiments)</t>
  </si>
  <si>
    <t>Pure Culture Acetate</t>
  </si>
  <si>
    <t>Pure Culture H2+CO2</t>
  </si>
  <si>
    <t>All Sites</t>
  </si>
  <si>
    <t>Dataset</t>
  </si>
  <si>
    <t>Slope</t>
  </si>
  <si>
    <t>Intercept</t>
  </si>
  <si>
    <r>
      <t>R</t>
    </r>
    <r>
      <rPr>
        <vertAlign val="superscript"/>
        <sz val="12"/>
        <color theme="1"/>
        <rFont val="Calibri"/>
        <scheme val="minor"/>
      </rPr>
      <t>2</t>
    </r>
  </si>
  <si>
    <t>SE- Standard Error</t>
  </si>
  <si>
    <t>RMSE- root mean square error</t>
  </si>
  <si>
    <t>Total dataset (unweighted regression)*</t>
  </si>
  <si>
    <t>*-The regression relationship reported here for the total dataset of Waldron et al., 1999a differs from that reported in the original study because we used to unweighted regression. This was done to make this analysis consistent with our other regression analyses, and because the precise weighting method used was not specified in the original study.</t>
  </si>
  <si>
    <r>
      <rPr>
        <b/>
        <sz val="12"/>
        <color theme="1"/>
        <rFont val="Symbol"/>
      </rPr>
      <t>d</t>
    </r>
    <r>
      <rPr>
        <b/>
        <vertAlign val="superscript"/>
        <sz val="12"/>
        <color theme="1"/>
        <rFont val="Calibri"/>
        <scheme val="minor"/>
      </rPr>
      <t>2</t>
    </r>
    <r>
      <rPr>
        <b/>
        <sz val="12"/>
        <color theme="1"/>
        <rFont val="Calibri"/>
        <family val="2"/>
        <scheme val="minor"/>
      </rPr>
      <t>H-H</t>
    </r>
    <r>
      <rPr>
        <b/>
        <vertAlign val="subscript"/>
        <sz val="12"/>
        <color theme="1"/>
        <rFont val="Calibri"/>
        <scheme val="minor"/>
      </rPr>
      <t>2</t>
    </r>
    <r>
      <rPr>
        <b/>
        <sz val="12"/>
        <color theme="1"/>
        <rFont val="Calibri"/>
        <family val="2"/>
        <scheme val="minor"/>
      </rPr>
      <t>O Measured</t>
    </r>
  </si>
  <si>
    <t>Data from Waldron et al., (1999a)</t>
  </si>
  <si>
    <t>Waldron et al., (1999a)</t>
  </si>
  <si>
    <t>Gruen et al., (2018)</t>
  </si>
  <si>
    <t>Valentine et al., (2004)</t>
  </si>
  <si>
    <r>
      <t xml:space="preserve">Table S2: Regression Statistics for </t>
    </r>
    <r>
      <rPr>
        <sz val="12"/>
        <color theme="1"/>
        <rFont val="Symbol"/>
      </rPr>
      <t>d</t>
    </r>
    <r>
      <rPr>
        <vertAlign val="superscript"/>
        <sz val="12"/>
        <color theme="1"/>
        <rFont val="Calibri"/>
        <scheme val="minor"/>
      </rPr>
      <t>2</t>
    </r>
    <r>
      <rPr>
        <sz val="12"/>
        <color theme="1"/>
        <rFont val="Calibri"/>
        <family val="2"/>
        <scheme val="minor"/>
      </rPr>
      <t>H-CH</t>
    </r>
    <r>
      <rPr>
        <vertAlign val="subscript"/>
        <sz val="12"/>
        <color theme="1"/>
        <rFont val="Calibri"/>
        <scheme val="minor"/>
      </rPr>
      <t>4</t>
    </r>
    <r>
      <rPr>
        <sz val="12"/>
        <color theme="1"/>
        <rFont val="Calibri"/>
        <family val="2"/>
        <scheme val="minor"/>
      </rPr>
      <t xml:space="preserve"> vs </t>
    </r>
    <r>
      <rPr>
        <sz val="12"/>
        <color theme="1"/>
        <rFont val="Symbol"/>
      </rPr>
      <t>d</t>
    </r>
    <r>
      <rPr>
        <vertAlign val="superscript"/>
        <sz val="12"/>
        <color theme="1"/>
        <rFont val="Calibri"/>
        <scheme val="minor"/>
      </rPr>
      <t>2</t>
    </r>
    <r>
      <rPr>
        <sz val="12"/>
        <color theme="1"/>
        <rFont val="Calibri"/>
        <family val="2"/>
        <scheme val="minor"/>
      </rPr>
      <t>H-H</t>
    </r>
    <r>
      <rPr>
        <vertAlign val="subscript"/>
        <sz val="12"/>
        <color theme="1"/>
        <rFont val="Calibri"/>
        <scheme val="minor"/>
      </rPr>
      <t>2</t>
    </r>
    <r>
      <rPr>
        <sz val="12"/>
        <color theme="1"/>
        <rFont val="Calibri"/>
        <family val="2"/>
        <scheme val="minor"/>
      </rPr>
      <t>O</t>
    </r>
  </si>
  <si>
    <r>
      <rPr>
        <b/>
        <sz val="11"/>
        <color theme="1"/>
        <rFont val="Symbol"/>
      </rPr>
      <t>d</t>
    </r>
    <r>
      <rPr>
        <b/>
        <vertAlign val="superscript"/>
        <sz val="11"/>
        <color theme="1"/>
        <rFont val="Symbol"/>
      </rPr>
      <t>13</t>
    </r>
    <r>
      <rPr>
        <b/>
        <sz val="11"/>
        <color theme="1"/>
        <rFont val="Calibri"/>
      </rPr>
      <t>C-CH</t>
    </r>
    <r>
      <rPr>
        <b/>
        <vertAlign val="subscript"/>
        <sz val="11"/>
        <color theme="1"/>
        <rFont val="Calibri"/>
      </rPr>
      <t>4</t>
    </r>
    <r>
      <rPr>
        <b/>
        <sz val="11"/>
        <color theme="1"/>
        <rFont val="Symbol"/>
      </rPr>
      <t>; d</t>
    </r>
    <r>
      <rPr>
        <b/>
        <vertAlign val="superscript"/>
        <sz val="11"/>
        <color theme="1"/>
        <rFont val="Calibri"/>
        <scheme val="minor"/>
      </rPr>
      <t>2</t>
    </r>
    <r>
      <rPr>
        <b/>
        <sz val="11"/>
        <color theme="1"/>
        <rFont val="Calibri"/>
        <scheme val="minor"/>
      </rPr>
      <t>H-H</t>
    </r>
    <r>
      <rPr>
        <b/>
        <vertAlign val="subscript"/>
        <sz val="11"/>
        <color theme="1"/>
        <rFont val="Calibri"/>
        <scheme val="minor"/>
      </rPr>
      <t>2</t>
    </r>
    <r>
      <rPr>
        <b/>
        <sz val="11"/>
        <color theme="1"/>
        <rFont val="Calibri"/>
        <scheme val="minor"/>
      </rPr>
      <t>O Best Estimate</t>
    </r>
  </si>
  <si>
    <r>
      <rPr>
        <b/>
        <sz val="11"/>
        <color theme="1"/>
        <rFont val="Symbol"/>
      </rPr>
      <t>a</t>
    </r>
    <r>
      <rPr>
        <b/>
        <vertAlign val="subscript"/>
        <sz val="11"/>
        <color theme="1"/>
        <rFont val="Calibri"/>
      </rPr>
      <t>c</t>
    </r>
    <r>
      <rPr>
        <b/>
        <sz val="11"/>
        <color theme="1"/>
        <rFont val="Symbol"/>
      </rPr>
      <t>; d</t>
    </r>
    <r>
      <rPr>
        <b/>
        <vertAlign val="superscript"/>
        <sz val="11"/>
        <color theme="1"/>
        <rFont val="Calibri"/>
        <scheme val="minor"/>
      </rPr>
      <t>2</t>
    </r>
    <r>
      <rPr>
        <b/>
        <sz val="11"/>
        <color theme="1"/>
        <rFont val="Calibri"/>
        <scheme val="minor"/>
      </rPr>
      <t>H-H</t>
    </r>
    <r>
      <rPr>
        <b/>
        <vertAlign val="subscript"/>
        <sz val="11"/>
        <color theme="1"/>
        <rFont val="Calibri"/>
        <scheme val="minor"/>
      </rPr>
      <t>2</t>
    </r>
    <r>
      <rPr>
        <b/>
        <sz val="11"/>
        <color theme="1"/>
        <rFont val="Calibri"/>
        <scheme val="minor"/>
      </rPr>
      <t>O Best Estimate</t>
    </r>
  </si>
  <si>
    <r>
      <rPr>
        <b/>
        <sz val="11"/>
        <color theme="1"/>
        <rFont val="Symbol"/>
      </rPr>
      <t>d</t>
    </r>
    <r>
      <rPr>
        <b/>
        <vertAlign val="superscript"/>
        <sz val="11"/>
        <color theme="1"/>
        <rFont val="Symbol"/>
      </rPr>
      <t>13</t>
    </r>
    <r>
      <rPr>
        <b/>
        <sz val="11"/>
        <color theme="1"/>
        <rFont val="Calibri"/>
      </rPr>
      <t>C-CO</t>
    </r>
    <r>
      <rPr>
        <b/>
        <vertAlign val="subscript"/>
        <sz val="11"/>
        <color theme="1"/>
        <rFont val="Calibri"/>
      </rPr>
      <t>2</t>
    </r>
    <r>
      <rPr>
        <b/>
        <sz val="11"/>
        <color theme="1"/>
        <rFont val="Symbol"/>
      </rPr>
      <t>; d</t>
    </r>
    <r>
      <rPr>
        <b/>
        <vertAlign val="superscript"/>
        <sz val="11"/>
        <color theme="1"/>
        <rFont val="Calibri"/>
        <scheme val="minor"/>
      </rPr>
      <t>2</t>
    </r>
    <r>
      <rPr>
        <b/>
        <sz val="11"/>
        <color theme="1"/>
        <rFont val="Calibri"/>
        <scheme val="minor"/>
      </rPr>
      <t>H-H</t>
    </r>
    <r>
      <rPr>
        <b/>
        <vertAlign val="subscript"/>
        <sz val="11"/>
        <color theme="1"/>
        <rFont val="Calibri"/>
        <scheme val="minor"/>
      </rPr>
      <t>2</t>
    </r>
    <r>
      <rPr>
        <b/>
        <sz val="11"/>
        <color theme="1"/>
        <rFont val="Calibri"/>
        <scheme val="minor"/>
      </rPr>
      <t>O Best Estimate</t>
    </r>
  </si>
  <si>
    <r>
      <rPr>
        <b/>
        <sz val="12"/>
        <color theme="1"/>
        <rFont val="Symbol"/>
      </rPr>
      <t>d</t>
    </r>
    <r>
      <rPr>
        <b/>
        <vertAlign val="superscript"/>
        <sz val="12"/>
        <color theme="1"/>
        <rFont val="Calibri"/>
        <scheme val="minor"/>
      </rPr>
      <t>13</t>
    </r>
    <r>
      <rPr>
        <b/>
        <sz val="12"/>
        <color theme="1"/>
        <rFont val="Calibri"/>
        <family val="2"/>
        <scheme val="minor"/>
      </rPr>
      <t>C-CH</t>
    </r>
    <r>
      <rPr>
        <b/>
        <vertAlign val="subscript"/>
        <sz val="12"/>
        <color theme="1"/>
        <rFont val="Calibri"/>
        <scheme val="minor"/>
      </rPr>
      <t>4</t>
    </r>
    <r>
      <rPr>
        <b/>
        <sz val="12"/>
        <color theme="1"/>
        <rFont val="Calibri"/>
        <family val="2"/>
        <scheme val="minor"/>
      </rPr>
      <t xml:space="preserve">; </t>
    </r>
    <r>
      <rPr>
        <b/>
        <sz val="12"/>
        <color theme="1"/>
        <rFont val="Symbol"/>
      </rPr>
      <t>d</t>
    </r>
    <r>
      <rPr>
        <b/>
        <vertAlign val="superscript"/>
        <sz val="12"/>
        <color theme="1"/>
        <rFont val="Calibri"/>
        <scheme val="minor"/>
      </rPr>
      <t>2</t>
    </r>
    <r>
      <rPr>
        <b/>
        <sz val="12"/>
        <color theme="1"/>
        <rFont val="Calibri"/>
        <family val="2"/>
        <scheme val="minor"/>
      </rPr>
      <t>H-H</t>
    </r>
    <r>
      <rPr>
        <b/>
        <vertAlign val="subscript"/>
        <sz val="12"/>
        <color theme="1"/>
        <rFont val="Calibri"/>
        <scheme val="minor"/>
      </rPr>
      <t>2</t>
    </r>
    <r>
      <rPr>
        <b/>
        <sz val="12"/>
        <color theme="1"/>
        <rFont val="Calibri"/>
        <family val="2"/>
        <scheme val="minor"/>
      </rPr>
      <t>O Measured</t>
    </r>
  </si>
  <si>
    <r>
      <rPr>
        <b/>
        <sz val="12"/>
        <color theme="1"/>
        <rFont val="Symbol"/>
      </rPr>
      <t>a</t>
    </r>
    <r>
      <rPr>
        <b/>
        <vertAlign val="subscript"/>
        <sz val="12"/>
        <color theme="1"/>
        <rFont val="Calibri"/>
        <scheme val="minor"/>
      </rPr>
      <t>c</t>
    </r>
    <r>
      <rPr>
        <b/>
        <sz val="12"/>
        <color theme="1"/>
        <rFont val="Calibri"/>
        <family val="2"/>
        <scheme val="minor"/>
      </rPr>
      <t xml:space="preserve">; </t>
    </r>
    <r>
      <rPr>
        <b/>
        <sz val="12"/>
        <color theme="1"/>
        <rFont val="Symbol"/>
      </rPr>
      <t>d</t>
    </r>
    <r>
      <rPr>
        <b/>
        <vertAlign val="superscript"/>
        <sz val="12"/>
        <color theme="1"/>
        <rFont val="Calibri"/>
        <scheme val="minor"/>
      </rPr>
      <t>2</t>
    </r>
    <r>
      <rPr>
        <b/>
        <sz val="12"/>
        <color theme="1"/>
        <rFont val="Calibri"/>
        <family val="2"/>
        <scheme val="minor"/>
      </rPr>
      <t>H-H</t>
    </r>
    <r>
      <rPr>
        <b/>
        <vertAlign val="subscript"/>
        <sz val="12"/>
        <color theme="1"/>
        <rFont val="Calibri"/>
        <scheme val="minor"/>
      </rPr>
      <t>2</t>
    </r>
    <r>
      <rPr>
        <b/>
        <sz val="12"/>
        <color theme="1"/>
        <rFont val="Calibri"/>
        <family val="2"/>
        <scheme val="minor"/>
      </rPr>
      <t>O Measured</t>
    </r>
  </si>
  <si>
    <r>
      <rPr>
        <b/>
        <sz val="12"/>
        <color theme="1"/>
        <rFont val="Symbol"/>
      </rPr>
      <t>d</t>
    </r>
    <r>
      <rPr>
        <b/>
        <vertAlign val="superscript"/>
        <sz val="12"/>
        <color theme="1"/>
        <rFont val="Calibri"/>
        <scheme val="minor"/>
      </rPr>
      <t>13</t>
    </r>
    <r>
      <rPr>
        <b/>
        <sz val="12"/>
        <color theme="1"/>
        <rFont val="Calibri"/>
        <family val="2"/>
        <scheme val="minor"/>
      </rPr>
      <t>C-CO</t>
    </r>
    <r>
      <rPr>
        <b/>
        <vertAlign val="subscript"/>
        <sz val="12"/>
        <color theme="1"/>
        <rFont val="Calibri"/>
        <scheme val="minor"/>
      </rPr>
      <t>2</t>
    </r>
    <r>
      <rPr>
        <b/>
        <sz val="12"/>
        <color theme="1"/>
        <rFont val="Calibri"/>
        <family val="2"/>
        <scheme val="minor"/>
      </rPr>
      <t xml:space="preserve">; </t>
    </r>
    <r>
      <rPr>
        <b/>
        <sz val="12"/>
        <color theme="1"/>
        <rFont val="Symbol"/>
      </rPr>
      <t>d</t>
    </r>
    <r>
      <rPr>
        <b/>
        <vertAlign val="superscript"/>
        <sz val="12"/>
        <color theme="1"/>
        <rFont val="Calibri"/>
        <scheme val="minor"/>
      </rPr>
      <t>2</t>
    </r>
    <r>
      <rPr>
        <b/>
        <sz val="12"/>
        <color theme="1"/>
        <rFont val="Calibri"/>
        <family val="2"/>
        <scheme val="minor"/>
      </rPr>
      <t>H-H</t>
    </r>
    <r>
      <rPr>
        <b/>
        <vertAlign val="subscript"/>
        <sz val="12"/>
        <color theme="1"/>
        <rFont val="Calibri"/>
        <scheme val="minor"/>
      </rPr>
      <t>2</t>
    </r>
    <r>
      <rPr>
        <b/>
        <sz val="12"/>
        <color theme="1"/>
        <rFont val="Calibri"/>
        <family val="2"/>
        <scheme val="minor"/>
      </rPr>
      <t>O Measured</t>
    </r>
  </si>
  <si>
    <t>Italics indicate statistically significant correlation at p &lt; 0.05</t>
  </si>
  <si>
    <r>
      <t xml:space="preserve">Table S3: Regression Statistics for </t>
    </r>
    <r>
      <rPr>
        <sz val="12"/>
        <color theme="1"/>
        <rFont val="Symbol"/>
      </rPr>
      <t>d</t>
    </r>
    <r>
      <rPr>
        <vertAlign val="superscript"/>
        <sz val="12"/>
        <color theme="1"/>
        <rFont val="Calibri"/>
        <scheme val="minor"/>
      </rPr>
      <t>2</t>
    </r>
    <r>
      <rPr>
        <sz val="12"/>
        <color theme="1"/>
        <rFont val="Calibri"/>
        <family val="2"/>
        <scheme val="minor"/>
      </rPr>
      <t>H-CH</t>
    </r>
    <r>
      <rPr>
        <vertAlign val="subscript"/>
        <sz val="12"/>
        <color theme="1"/>
        <rFont val="Calibri"/>
        <scheme val="minor"/>
      </rPr>
      <t>4,w0</t>
    </r>
    <r>
      <rPr>
        <sz val="12"/>
        <color theme="1"/>
        <rFont val="Calibri"/>
        <family val="2"/>
        <scheme val="minor"/>
      </rPr>
      <t xml:space="preserve"> vs</t>
    </r>
    <r>
      <rPr>
        <sz val="12"/>
        <color theme="1"/>
        <rFont val="Symbol"/>
      </rPr>
      <t xml:space="preserve"> d</t>
    </r>
    <r>
      <rPr>
        <vertAlign val="superscript"/>
        <sz val="12"/>
        <color theme="1"/>
        <rFont val="Calibri"/>
        <scheme val="minor"/>
      </rPr>
      <t>13</t>
    </r>
    <r>
      <rPr>
        <sz val="12"/>
        <color theme="1"/>
        <rFont val="Calibri"/>
        <family val="2"/>
        <scheme val="minor"/>
      </rPr>
      <t>C-CH</t>
    </r>
    <r>
      <rPr>
        <vertAlign val="subscript"/>
        <sz val="12"/>
        <color theme="1"/>
        <rFont val="Calibri"/>
        <scheme val="minor"/>
      </rPr>
      <t>4</t>
    </r>
    <r>
      <rPr>
        <sz val="12"/>
        <color theme="1"/>
        <rFont val="Calibri"/>
        <family val="2"/>
        <scheme val="minor"/>
      </rPr>
      <t xml:space="preserve">, </t>
    </r>
    <r>
      <rPr>
        <sz val="12"/>
        <color theme="1"/>
        <rFont val="Symbol"/>
      </rPr>
      <t>d</t>
    </r>
    <r>
      <rPr>
        <vertAlign val="superscript"/>
        <sz val="12"/>
        <color theme="1"/>
        <rFont val="Calibri"/>
        <scheme val="minor"/>
      </rPr>
      <t>13</t>
    </r>
    <r>
      <rPr>
        <sz val="12"/>
        <color theme="1"/>
        <rFont val="Calibri"/>
        <family val="2"/>
        <scheme val="minor"/>
      </rPr>
      <t>C-CO</t>
    </r>
    <r>
      <rPr>
        <vertAlign val="subscript"/>
        <sz val="12"/>
        <color theme="1"/>
        <rFont val="Calibri"/>
        <scheme val="minor"/>
      </rPr>
      <t>2</t>
    </r>
    <r>
      <rPr>
        <sz val="12"/>
        <color theme="1"/>
        <rFont val="Calibri"/>
        <family val="2"/>
        <scheme val="minor"/>
      </rPr>
      <t xml:space="preserve">, and </t>
    </r>
    <r>
      <rPr>
        <sz val="12"/>
        <color theme="1"/>
        <rFont val="Symbol"/>
      </rPr>
      <t>a</t>
    </r>
    <r>
      <rPr>
        <vertAlign val="subscript"/>
        <sz val="12"/>
        <color theme="1"/>
        <rFont val="Calibri"/>
        <scheme val="minor"/>
      </rPr>
      <t>c</t>
    </r>
  </si>
  <si>
    <r>
      <rPr>
        <sz val="12"/>
        <color theme="1"/>
        <rFont val="Symbol"/>
      </rPr>
      <t>d</t>
    </r>
    <r>
      <rPr>
        <vertAlign val="superscript"/>
        <sz val="12"/>
        <color theme="1"/>
        <rFont val="Calibri"/>
        <scheme val="minor"/>
      </rPr>
      <t>2</t>
    </r>
    <r>
      <rPr>
        <sz val="12"/>
        <color theme="1"/>
        <rFont val="Calibri"/>
        <family val="2"/>
        <scheme val="minor"/>
      </rPr>
      <t>H-CH</t>
    </r>
    <r>
      <rPr>
        <vertAlign val="subscript"/>
        <sz val="12"/>
        <color theme="1"/>
        <rFont val="Calibri"/>
        <scheme val="minor"/>
      </rPr>
      <t xml:space="preserve">4,w0 </t>
    </r>
    <r>
      <rPr>
        <sz val="12"/>
        <color theme="1"/>
        <rFont val="Calibri"/>
        <family val="2"/>
        <scheme val="minor"/>
      </rPr>
      <t>(Best Estimate H2O)</t>
    </r>
  </si>
  <si>
    <r>
      <rPr>
        <sz val="12"/>
        <color theme="1"/>
        <rFont val="Symbol"/>
      </rPr>
      <t>d</t>
    </r>
    <r>
      <rPr>
        <vertAlign val="superscript"/>
        <sz val="12"/>
        <color theme="1"/>
        <rFont val="Calibri"/>
        <scheme val="minor"/>
      </rPr>
      <t>2</t>
    </r>
    <r>
      <rPr>
        <sz val="12"/>
        <color theme="1"/>
        <rFont val="Calibri"/>
        <family val="2"/>
        <scheme val="minor"/>
      </rPr>
      <t>H-CH</t>
    </r>
    <r>
      <rPr>
        <vertAlign val="subscript"/>
        <sz val="12"/>
        <color theme="1"/>
        <rFont val="Calibri"/>
        <scheme val="minor"/>
      </rPr>
      <t xml:space="preserve">4,w0 </t>
    </r>
    <r>
      <rPr>
        <sz val="12"/>
        <color theme="1"/>
        <rFont val="Calibri"/>
        <family val="2"/>
        <scheme val="minor"/>
      </rPr>
      <t>(Measured H2O)</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</si>
</sst>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00"/>
  </numFmts>
  <fonts count="27" x14ac:knownFonts="1">
    <font>
      <sz val="12"/>
      <color theme="1"/>
      <name val="Calibri"/>
      <family val="2"/>
      <scheme val="minor"/>
    </font>
    <font>
      <b/>
      <sz val="12"/>
      <color theme="1"/>
      <name val="Calibri"/>
      <family val="2"/>
      <scheme val="minor"/>
    </font>
    <font>
      <sz val="11"/>
      <color theme="1"/>
      <name val="Calibri"/>
      <scheme val="minor"/>
    </font>
    <font>
      <vertAlign val="subscript"/>
      <sz val="11"/>
      <color theme="1"/>
      <name val="Calibri"/>
      <scheme val="minor"/>
    </font>
    <font>
      <sz val="11"/>
      <color theme="1"/>
      <name val="Symbol"/>
    </font>
    <font>
      <vertAlign val="superscript"/>
      <sz val="11"/>
      <color theme="1"/>
      <name val="Calibri"/>
      <scheme val="minor"/>
    </font>
    <font>
      <vertAlign val="subscript"/>
      <sz val="11"/>
      <color theme="1"/>
      <name val="Calibri"/>
    </font>
    <font>
      <sz val="12"/>
      <color theme="1"/>
      <name val="Symbol"/>
    </font>
    <font>
      <vertAlign val="superscript"/>
      <sz val="12"/>
      <color theme="1"/>
      <name val="Calibri"/>
      <scheme val="minor"/>
    </font>
    <font>
      <vertAlign val="subscript"/>
      <sz val="12"/>
      <color theme="1"/>
      <name val="Calibri"/>
      <scheme val="minor"/>
    </font>
    <font>
      <sz val="12"/>
      <color rgb="FF000000"/>
      <name val="Calibri"/>
      <family val="2"/>
      <scheme val="minor"/>
    </font>
    <font>
      <u/>
      <sz val="12"/>
      <color theme="10"/>
      <name val="Calibri"/>
      <family val="2"/>
      <scheme val="minor"/>
    </font>
    <font>
      <u/>
      <sz val="12"/>
      <color theme="11"/>
      <name val="Calibri"/>
      <family val="2"/>
      <scheme val="minor"/>
    </font>
    <font>
      <i/>
      <sz val="12"/>
      <color theme="1"/>
      <name val="Calibri"/>
      <scheme val="minor"/>
    </font>
    <font>
      <b/>
      <sz val="12"/>
      <color theme="1"/>
      <name val="Symbol"/>
    </font>
    <font>
      <b/>
      <vertAlign val="superscript"/>
      <sz val="12"/>
      <color theme="1"/>
      <name val="Calibri"/>
      <scheme val="minor"/>
    </font>
    <font>
      <b/>
      <vertAlign val="subscript"/>
      <sz val="12"/>
      <color theme="1"/>
      <name val="Calibri"/>
      <scheme val="minor"/>
    </font>
    <font>
      <i/>
      <sz val="12"/>
      <color theme="1"/>
      <name val="Symbol"/>
    </font>
    <font>
      <i/>
      <vertAlign val="superscript"/>
      <sz val="12"/>
      <color theme="1"/>
      <name val="Calibri"/>
      <scheme val="minor"/>
    </font>
    <font>
      <i/>
      <vertAlign val="subscript"/>
      <sz val="12"/>
      <color theme="1"/>
      <name val="Calibri"/>
      <scheme val="minor"/>
    </font>
    <font>
      <b/>
      <sz val="11"/>
      <color theme="1"/>
      <name val="Calibri"/>
      <scheme val="minor"/>
    </font>
    <font>
      <b/>
      <sz val="11"/>
      <color theme="1"/>
      <name val="Symbol"/>
    </font>
    <font>
      <b/>
      <vertAlign val="superscript"/>
      <sz val="11"/>
      <color theme="1"/>
      <name val="Calibri"/>
      <scheme val="minor"/>
    </font>
    <font>
      <b/>
      <vertAlign val="subscript"/>
      <sz val="11"/>
      <color theme="1"/>
      <name val="Calibri"/>
      <scheme val="minor"/>
    </font>
    <font>
      <b/>
      <sz val="11"/>
      <color theme="1"/>
      <name val="Calibri"/>
    </font>
    <font>
      <b/>
      <vertAlign val="superscript"/>
      <sz val="11"/>
      <color theme="1"/>
      <name val="Symbol"/>
    </font>
    <font>
      <b/>
      <vertAlign val="subscript"/>
      <sz val="11"/>
      <color theme="1"/>
      <name val="Calibri"/>
    </font>
  </fonts>
  <fills count="2">
    <fill>
      <patternFill patternType="none"/>
    </fill>
    <fill>
      <patternFill patternType="gray125"/>
    </fill>
  </fills>
  <borders count="2">
    <border>
      <left/>
      <right/>
      <top/>
      <bottom/>
      <diagonal/>
    </border>
    <border>
      <left/>
      <right/>
      <top/>
      <bottom style="thin">
        <color auto="1"/>
      </bottom>
      <diagonal/>
    </border>
  </borders>
  <cellStyleXfs count="91">
    <xf numFmtId="0" fontId="0"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cellStyleXfs>
  <cellXfs count="75">
    <xf numFmtId="0" fontId="0" fillId="0" borderId="0" xfId="0"/>
    <xf numFmtId="0" fontId="0" fillId="0" borderId="1" xfId="0" applyFont="1" applyFill="1" applyBorder="1" applyAlignment="1">
      <alignment horizontal="left"/>
    </xf>
    <xf numFmtId="0" fontId="2" fillId="0" borderId="1" xfId="0" applyFont="1" applyFill="1" applyBorder="1" applyAlignment="1">
      <alignment horizontal="left"/>
    </xf>
    <xf numFmtId="164" fontId="2" fillId="0" borderId="1" xfId="0" applyNumberFormat="1" applyFont="1" applyFill="1" applyBorder="1" applyAlignment="1">
      <alignment horizontal="left"/>
    </xf>
    <xf numFmtId="0" fontId="2" fillId="0" borderId="1" xfId="0" applyNumberFormat="1" applyFont="1" applyFill="1" applyBorder="1" applyAlignment="1">
      <alignment horizontal="left"/>
    </xf>
    <xf numFmtId="164" fontId="4" fillId="0" borderId="1" xfId="0" applyNumberFormat="1" applyFont="1" applyFill="1" applyBorder="1" applyAlignment="1">
      <alignment horizontal="left"/>
    </xf>
    <xf numFmtId="1" fontId="2" fillId="0" borderId="1" xfId="0" applyNumberFormat="1" applyFont="1" applyFill="1" applyBorder="1" applyAlignment="1">
      <alignment horizontal="left"/>
    </xf>
    <xf numFmtId="165" fontId="4" fillId="0" borderId="1" xfId="0" applyNumberFormat="1" applyFont="1" applyFill="1" applyBorder="1" applyAlignment="1">
      <alignment horizontal="left"/>
    </xf>
    <xf numFmtId="1" fontId="0" fillId="0" borderId="1" xfId="0" applyNumberFormat="1" applyFont="1" applyFill="1" applyBorder="1" applyAlignment="1">
      <alignment horizontal="left"/>
    </xf>
    <xf numFmtId="0" fontId="0" fillId="0" borderId="1" xfId="0" applyBorder="1"/>
    <xf numFmtId="0" fontId="0" fillId="0" borderId="0" xfId="0" applyFont="1" applyFill="1" applyAlignment="1">
      <alignment horizontal="left"/>
    </xf>
    <xf numFmtId="0" fontId="0" fillId="0" borderId="0" xfId="0" quotePrefix="1" applyNumberFormat="1" applyFont="1" applyFill="1" applyAlignment="1">
      <alignment horizontal="left"/>
    </xf>
    <xf numFmtId="0" fontId="0" fillId="0" borderId="0" xfId="0" applyNumberFormat="1" applyFont="1" applyFill="1" applyAlignment="1">
      <alignment horizontal="left"/>
    </xf>
    <xf numFmtId="0" fontId="10" fillId="0" borderId="0" xfId="0" applyFont="1" applyFill="1" applyAlignment="1">
      <alignment horizontal="left"/>
    </xf>
    <xf numFmtId="0" fontId="1" fillId="0" borderId="0" xfId="0" applyFont="1"/>
    <xf numFmtId="0" fontId="0" fillId="0" borderId="0" xfId="0" applyFont="1"/>
    <xf numFmtId="0" fontId="13" fillId="0" borderId="0" xfId="0" applyFont="1"/>
    <xf numFmtId="0" fontId="13" fillId="0" borderId="1" xfId="0" applyFont="1" applyBorder="1"/>
    <xf numFmtId="0" fontId="0" fillId="0" borderId="0" xfId="0" applyFill="1" applyBorder="1"/>
    <xf numFmtId="0" fontId="1" fillId="0" borderId="0" xfId="0" applyFont="1" applyFill="1" applyBorder="1"/>
    <xf numFmtId="1" fontId="0" fillId="0" borderId="0" xfId="0" applyNumberFormat="1" applyFont="1" applyFill="1" applyAlignment="1">
      <alignment horizontal="right"/>
    </xf>
    <xf numFmtId="0" fontId="0" fillId="0" borderId="0" xfId="0" applyFont="1" applyFill="1"/>
    <xf numFmtId="1" fontId="0" fillId="0" borderId="0" xfId="0" quotePrefix="1" applyNumberFormat="1" applyFont="1" applyFill="1" applyAlignment="1">
      <alignment horizontal="right"/>
    </xf>
    <xf numFmtId="164" fontId="0" fillId="0" borderId="0" xfId="0" applyNumberFormat="1" applyFont="1" applyFill="1" applyAlignment="1">
      <alignment horizontal="right"/>
    </xf>
    <xf numFmtId="164" fontId="0" fillId="0" borderId="0" xfId="0" quotePrefix="1" applyNumberFormat="1" applyFont="1" applyFill="1" applyAlignment="1">
      <alignment horizontal="right"/>
    </xf>
    <xf numFmtId="0" fontId="0" fillId="0" borderId="0" xfId="0" quotePrefix="1" applyNumberFormat="1" applyFont="1" applyFill="1" applyAlignment="1">
      <alignment horizontal="center"/>
    </xf>
    <xf numFmtId="0" fontId="0" fillId="0" borderId="0" xfId="0" applyFont="1" applyFill="1" applyAlignment="1">
      <alignment horizontal="right"/>
    </xf>
    <xf numFmtId="2" fontId="0" fillId="0" borderId="0" xfId="0" applyNumberFormat="1" applyFont="1" applyFill="1" applyAlignment="1">
      <alignment horizontal="right"/>
    </xf>
    <xf numFmtId="0" fontId="0" fillId="0" borderId="0" xfId="0" applyAlignment="1">
      <alignment horizontal="left"/>
    </xf>
    <xf numFmtId="0" fontId="0" fillId="0" borderId="0" xfId="0" applyFill="1"/>
    <xf numFmtId="1" fontId="0" fillId="0" borderId="0" xfId="0" applyNumberFormat="1" applyFont="1" applyFill="1" applyAlignment="1">
      <alignment horizontal="right" wrapText="1"/>
    </xf>
    <xf numFmtId="0" fontId="0" fillId="0" borderId="0" xfId="0" applyFont="1" applyFill="1" applyAlignment="1">
      <alignment horizontal="right" wrapText="1"/>
    </xf>
    <xf numFmtId="0" fontId="0" fillId="0" borderId="0" xfId="0" applyFill="1" applyAlignment="1">
      <alignment horizontal="right"/>
    </xf>
    <xf numFmtId="165" fontId="0" fillId="0" borderId="0" xfId="0" applyNumberFormat="1" applyFont="1" applyFill="1" applyAlignment="1">
      <alignment horizontal="right"/>
    </xf>
    <xf numFmtId="164" fontId="0" fillId="0" borderId="0" xfId="0" applyNumberFormat="1" applyFont="1" applyFill="1" applyAlignment="1">
      <alignment horizontal="right" wrapText="1"/>
    </xf>
    <xf numFmtId="2" fontId="0" fillId="0" borderId="0" xfId="0" applyNumberFormat="1" applyFont="1" applyFill="1" applyAlignment="1">
      <alignment horizontal="right" wrapText="1"/>
    </xf>
    <xf numFmtId="165" fontId="0" fillId="0" borderId="0" xfId="0" applyNumberFormat="1" applyFont="1" applyFill="1" applyAlignment="1">
      <alignment horizontal="right" wrapText="1"/>
    </xf>
    <xf numFmtId="0" fontId="0" fillId="0" borderId="1" xfId="0" applyFont="1" applyFill="1" applyBorder="1" applyAlignment="1">
      <alignment horizontal="right"/>
    </xf>
    <xf numFmtId="164" fontId="0" fillId="0" borderId="1" xfId="0" applyNumberFormat="1" applyFont="1" applyFill="1" applyBorder="1" applyAlignment="1">
      <alignment horizontal="right"/>
    </xf>
    <xf numFmtId="2" fontId="0" fillId="0" borderId="1" xfId="0" applyNumberFormat="1" applyFont="1" applyFill="1" applyBorder="1" applyAlignment="1">
      <alignment horizontal="right"/>
    </xf>
    <xf numFmtId="1" fontId="0" fillId="0" borderId="1" xfId="0" applyNumberFormat="1" applyFont="1" applyFill="1" applyBorder="1" applyAlignment="1">
      <alignment horizontal="right"/>
    </xf>
    <xf numFmtId="165" fontId="0" fillId="0" borderId="1" xfId="0" applyNumberFormat="1" applyFont="1" applyFill="1" applyBorder="1" applyAlignment="1">
      <alignment horizontal="right"/>
    </xf>
    <xf numFmtId="0" fontId="0" fillId="0" borderId="0" xfId="0" applyFont="1" applyFill="1" applyAlignment="1">
      <alignment horizontal="left"/>
    </xf>
    <xf numFmtId="0" fontId="0" fillId="0" borderId="0" xfId="0" applyFont="1" applyFill="1" applyAlignment="1"/>
    <xf numFmtId="0" fontId="2" fillId="0" borderId="1" xfId="0" applyFont="1" applyFill="1" applyBorder="1" applyAlignment="1"/>
    <xf numFmtId="0" fontId="0" fillId="0" borderId="1" xfId="0" applyFont="1" applyFill="1" applyBorder="1" applyAlignment="1"/>
    <xf numFmtId="1" fontId="20" fillId="0" borderId="0" xfId="0" applyNumberFormat="1" applyFont="1" applyFill="1" applyBorder="1" applyAlignment="1">
      <alignment horizontal="left"/>
    </xf>
    <xf numFmtId="0" fontId="0" fillId="0" borderId="0" xfId="0" applyBorder="1"/>
    <xf numFmtId="2" fontId="0" fillId="0" borderId="0" xfId="0" applyNumberFormat="1" applyBorder="1"/>
    <xf numFmtId="164" fontId="0" fillId="0" borderId="0" xfId="0" applyNumberFormat="1" applyBorder="1"/>
    <xf numFmtId="11" fontId="0" fillId="0" borderId="0" xfId="0" applyNumberFormat="1" applyBorder="1"/>
    <xf numFmtId="0" fontId="1" fillId="0" borderId="0" xfId="0" applyFont="1" applyBorder="1"/>
    <xf numFmtId="0" fontId="13" fillId="0" borderId="0" xfId="0" applyFont="1" applyBorder="1"/>
    <xf numFmtId="2" fontId="0" fillId="0" borderId="1" xfId="0" applyNumberFormat="1" applyBorder="1"/>
    <xf numFmtId="164" fontId="0" fillId="0" borderId="1" xfId="0" applyNumberFormat="1" applyBorder="1"/>
    <xf numFmtId="11" fontId="0" fillId="0" borderId="1" xfId="0" applyNumberFormat="1" applyBorder="1"/>
    <xf numFmtId="2" fontId="0" fillId="0" borderId="0" xfId="0" applyNumberFormat="1" applyFill="1" applyBorder="1"/>
    <xf numFmtId="164" fontId="0" fillId="0" borderId="0" xfId="0" applyNumberFormat="1" applyFill="1" applyBorder="1"/>
    <xf numFmtId="11" fontId="0" fillId="0" borderId="0" xfId="0" applyNumberFormat="1" applyFill="1" applyBorder="1"/>
    <xf numFmtId="0" fontId="13" fillId="0" borderId="0" xfId="0" applyFont="1" applyFill="1" applyBorder="1"/>
    <xf numFmtId="2" fontId="13" fillId="0" borderId="0" xfId="0" applyNumberFormat="1" applyFont="1" applyFill="1" applyBorder="1"/>
    <xf numFmtId="164" fontId="13" fillId="0" borderId="0" xfId="0" applyNumberFormat="1" applyFont="1" applyFill="1" applyBorder="1"/>
    <xf numFmtId="0" fontId="13" fillId="0" borderId="0" xfId="0" applyFont="1" applyFill="1"/>
    <xf numFmtId="0" fontId="0" fillId="0" borderId="1" xfId="0" applyFill="1" applyBorder="1"/>
    <xf numFmtId="2" fontId="0" fillId="0" borderId="1" xfId="0" applyNumberFormat="1" applyFill="1" applyBorder="1"/>
    <xf numFmtId="164" fontId="0" fillId="0" borderId="1" xfId="0" applyNumberFormat="1" applyFill="1" applyBorder="1"/>
    <xf numFmtId="11" fontId="0" fillId="0" borderId="1" xfId="0" applyNumberFormat="1" applyFill="1" applyBorder="1"/>
    <xf numFmtId="0" fontId="13" fillId="0" borderId="1" xfId="0" applyFont="1" applyFill="1" applyBorder="1"/>
    <xf numFmtId="165" fontId="13" fillId="0" borderId="0" xfId="0" applyNumberFormat="1" applyFont="1" applyFill="1" applyBorder="1"/>
    <xf numFmtId="165" fontId="0" fillId="0" borderId="0" xfId="0" applyNumberFormat="1" applyFill="1" applyBorder="1"/>
    <xf numFmtId="165" fontId="0" fillId="0" borderId="1" xfId="0" applyNumberFormat="1" applyFill="1" applyBorder="1"/>
    <xf numFmtId="1" fontId="13" fillId="0" borderId="0" xfId="0" applyNumberFormat="1" applyFont="1" applyFill="1" applyBorder="1"/>
    <xf numFmtId="1" fontId="0" fillId="0" borderId="0" xfId="0" applyNumberFormat="1" applyFill="1" applyBorder="1"/>
    <xf numFmtId="1" fontId="0" fillId="0" borderId="1" xfId="0" applyNumberFormat="1" applyFill="1" applyBorder="1"/>
    <xf numFmtId="0" fontId="0" fillId="0" borderId="0" xfId="0" applyFont="1" applyFill="1" applyAlignment="1">
      <alignment horizontal="left"/>
    </xf>
  </cellXfs>
  <cellStyles count="9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H152"/>
  <sheetViews>
    <sheetView topLeftCell="A105" workbookViewId="0">
      <selection activeCell="AA3" sqref="AA3"/>
    </sheetView>
  </sheetViews>
  <sheetFormatPr baseColWidth="10" defaultRowHeight="15" x14ac:dyDescent="0"/>
  <cols>
    <col min="1" max="1" width="10.83203125" style="26"/>
    <col min="2" max="2" width="24.6640625" style="10" customWidth="1"/>
    <col min="3" max="3" width="10.83203125" style="10"/>
    <col min="4" max="4" width="21.5" style="43" customWidth="1"/>
    <col min="5" max="5" width="33" style="10" customWidth="1"/>
    <col min="6" max="7" width="10.83203125" style="23"/>
    <col min="8" max="9" width="10.83203125" style="10"/>
    <col min="10" max="10" width="30" style="10" customWidth="1"/>
    <col min="11" max="11" width="16.5" style="10" customWidth="1"/>
    <col min="12" max="12" width="10.83203125" style="26"/>
    <col min="13" max="13" width="10.83203125" style="23"/>
    <col min="14" max="14" width="10.83203125" style="27"/>
    <col min="15" max="16" width="10.83203125" style="20"/>
    <col min="17" max="17" width="10.83203125" style="23"/>
    <col min="18" max="18" width="10.83203125" style="26"/>
    <col min="19" max="19" width="10.83203125" style="23"/>
    <col min="20" max="20" width="10.83203125" style="33"/>
    <col min="21" max="21" width="10.83203125" style="20"/>
    <col min="22" max="22" width="10.83203125" style="26"/>
    <col min="23" max="25" width="10.83203125" style="20"/>
    <col min="26" max="26" width="19.5" style="20" customWidth="1"/>
    <col min="27" max="27" width="21.5" style="26" customWidth="1"/>
    <col min="28" max="28" width="19.83203125" style="26" customWidth="1"/>
    <col min="87" max="16384" width="10.83203125" style="10"/>
  </cols>
  <sheetData>
    <row r="1" spans="1:86">
      <c r="A1" t="s">
        <v>0</v>
      </c>
    </row>
    <row r="2" spans="1:86" ht="42" customHeight="1">
      <c r="A2" s="1" t="s">
        <v>227</v>
      </c>
      <c r="B2" s="2" t="s">
        <v>1</v>
      </c>
      <c r="C2" s="2" t="s">
        <v>228</v>
      </c>
      <c r="D2" s="44" t="s">
        <v>251</v>
      </c>
      <c r="E2" s="2" t="s">
        <v>2</v>
      </c>
      <c r="F2" s="3" t="s">
        <v>254</v>
      </c>
      <c r="G2" s="3" t="s">
        <v>255</v>
      </c>
      <c r="H2" s="2" t="s">
        <v>3</v>
      </c>
      <c r="I2" s="2" t="s">
        <v>4</v>
      </c>
      <c r="J2" s="2" t="s">
        <v>5</v>
      </c>
      <c r="K2" s="2" t="s">
        <v>6</v>
      </c>
      <c r="L2" s="2" t="s">
        <v>7</v>
      </c>
      <c r="M2" s="4" t="s">
        <v>8</v>
      </c>
      <c r="N2" s="5" t="s">
        <v>9</v>
      </c>
      <c r="O2" s="6" t="s">
        <v>10</v>
      </c>
      <c r="P2" s="5" t="s">
        <v>9</v>
      </c>
      <c r="Q2" s="3" t="s">
        <v>11</v>
      </c>
      <c r="R2" s="2" t="s">
        <v>12</v>
      </c>
      <c r="S2" s="5" t="s">
        <v>9</v>
      </c>
      <c r="T2" s="7" t="s">
        <v>13</v>
      </c>
      <c r="U2" s="6" t="s">
        <v>14</v>
      </c>
      <c r="V2" s="2" t="s">
        <v>12</v>
      </c>
      <c r="W2" s="5" t="s">
        <v>9</v>
      </c>
      <c r="X2" s="6" t="s">
        <v>256</v>
      </c>
      <c r="Y2" s="6" t="s">
        <v>257</v>
      </c>
      <c r="Z2" s="6" t="s">
        <v>258</v>
      </c>
      <c r="AA2" s="8" t="s">
        <v>298</v>
      </c>
      <c r="AB2" s="8" t="s">
        <v>299</v>
      </c>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row>
    <row r="3" spans="1:86">
      <c r="A3" s="26">
        <v>1</v>
      </c>
      <c r="B3" s="10" t="s">
        <v>253</v>
      </c>
      <c r="C3" s="10">
        <v>1992</v>
      </c>
      <c r="D3" s="43" t="s">
        <v>252</v>
      </c>
      <c r="E3" s="10" t="s">
        <v>15</v>
      </c>
      <c r="F3" s="23">
        <v>-3.6</v>
      </c>
      <c r="G3" s="23">
        <v>-63.7</v>
      </c>
      <c r="H3" s="10" t="s">
        <v>16</v>
      </c>
      <c r="I3" s="10" t="s">
        <v>17</v>
      </c>
      <c r="J3" s="10" t="s">
        <v>18</v>
      </c>
      <c r="K3" s="10" t="s">
        <v>19</v>
      </c>
      <c r="L3" s="26">
        <v>2</v>
      </c>
      <c r="M3" s="23">
        <v>-49.95</v>
      </c>
      <c r="N3" s="27">
        <v>5.72</v>
      </c>
      <c r="O3" s="20">
        <v>-269</v>
      </c>
      <c r="P3" s="20">
        <v>33</v>
      </c>
      <c r="Q3" s="23">
        <v>-22.4</v>
      </c>
      <c r="R3" s="26">
        <v>2</v>
      </c>
      <c r="S3" s="23">
        <v>0.14000000000000001</v>
      </c>
      <c r="T3" s="33">
        <f t="shared" ref="T3:T8" si="0">(Q3+1000)/(M3+1000)</f>
        <v>1.0289984737645388</v>
      </c>
      <c r="X3" s="20">
        <v>-26.24832</v>
      </c>
      <c r="Y3" s="20">
        <v>-26</v>
      </c>
      <c r="Z3" s="20">
        <v>-26.24832</v>
      </c>
      <c r="AA3" s="26">
        <f t="shared" ref="AA3:AA35" si="1">O3-(Z3*0.44)</f>
        <v>-257.45073919999999</v>
      </c>
    </row>
    <row r="4" spans="1:86">
      <c r="A4" s="26">
        <v>2</v>
      </c>
      <c r="B4" s="10" t="s">
        <v>20</v>
      </c>
      <c r="C4" s="10">
        <v>1992</v>
      </c>
      <c r="D4" s="43" t="s">
        <v>252</v>
      </c>
      <c r="E4" s="10" t="s">
        <v>21</v>
      </c>
      <c r="F4" s="23">
        <v>-3.47</v>
      </c>
      <c r="G4" s="23">
        <v>-62.2</v>
      </c>
      <c r="H4" s="10" t="s">
        <v>16</v>
      </c>
      <c r="I4" s="10" t="s">
        <v>17</v>
      </c>
      <c r="J4" s="10" t="s">
        <v>22</v>
      </c>
      <c r="K4" s="10" t="s">
        <v>19</v>
      </c>
      <c r="L4" s="26">
        <v>11</v>
      </c>
      <c r="M4" s="23">
        <v>-52.627272727272725</v>
      </c>
      <c r="N4" s="27">
        <v>2.0890624256306496</v>
      </c>
      <c r="O4" s="20">
        <v>-342.09090909090907</v>
      </c>
      <c r="P4" s="20">
        <v>7.9555583770662572</v>
      </c>
      <c r="Q4" s="23">
        <v>-13.27</v>
      </c>
      <c r="R4" s="26">
        <v>11</v>
      </c>
      <c r="S4" s="23">
        <v>2.4</v>
      </c>
      <c r="T4" s="33">
        <f t="shared" si="0"/>
        <v>1.0415435990442468</v>
      </c>
      <c r="X4" s="20">
        <v>-26.612880000000001</v>
      </c>
      <c r="Y4" s="20">
        <v>-27</v>
      </c>
      <c r="Z4" s="20">
        <v>-26.612880000000001</v>
      </c>
      <c r="AA4" s="26">
        <f t="shared" si="1"/>
        <v>-330.38124189090905</v>
      </c>
    </row>
    <row r="5" spans="1:86">
      <c r="A5" s="26">
        <v>3</v>
      </c>
      <c r="B5" s="10" t="s">
        <v>253</v>
      </c>
      <c r="C5" s="10">
        <v>1992</v>
      </c>
      <c r="D5" s="43" t="s">
        <v>252</v>
      </c>
      <c r="E5" s="10" t="s">
        <v>23</v>
      </c>
      <c r="F5" s="23">
        <v>-3.4</v>
      </c>
      <c r="G5" s="23">
        <v>-64.5</v>
      </c>
      <c r="H5" s="10" t="s">
        <v>16</v>
      </c>
      <c r="I5" s="10" t="s">
        <v>17</v>
      </c>
      <c r="J5" s="10" t="s">
        <v>24</v>
      </c>
      <c r="K5" s="10" t="s">
        <v>19</v>
      </c>
      <c r="L5" s="26">
        <v>1</v>
      </c>
      <c r="M5" s="23">
        <v>-44</v>
      </c>
      <c r="O5" s="20">
        <v>-275</v>
      </c>
      <c r="Q5" s="23">
        <v>-21.9</v>
      </c>
      <c r="R5" s="26">
        <v>1</v>
      </c>
      <c r="T5" s="33">
        <f t="shared" si="0"/>
        <v>1.0231171548117155</v>
      </c>
      <c r="U5" s="20">
        <v>-34</v>
      </c>
      <c r="V5" s="26">
        <v>1</v>
      </c>
      <c r="X5" s="20">
        <v>-24.860289999999999</v>
      </c>
      <c r="Y5" s="20">
        <v>-25</v>
      </c>
      <c r="Z5" s="20">
        <v>-34</v>
      </c>
      <c r="AA5" s="26">
        <f t="shared" si="1"/>
        <v>-260.04000000000002</v>
      </c>
      <c r="AB5" s="26">
        <f>O5-(U5*0.5)</f>
        <v>-258</v>
      </c>
    </row>
    <row r="6" spans="1:86">
      <c r="A6" s="26">
        <v>4</v>
      </c>
      <c r="B6" s="10" t="s">
        <v>253</v>
      </c>
      <c r="C6" s="10">
        <v>1992</v>
      </c>
      <c r="D6" s="43" t="s">
        <v>252</v>
      </c>
      <c r="E6" s="10" t="s">
        <v>25</v>
      </c>
      <c r="F6" s="23">
        <v>-3.3</v>
      </c>
      <c r="G6" s="23">
        <v>-64.7</v>
      </c>
      <c r="H6" s="10" t="s">
        <v>16</v>
      </c>
      <c r="I6" s="10" t="s">
        <v>17</v>
      </c>
      <c r="J6" s="10" t="s">
        <v>24</v>
      </c>
      <c r="K6" s="10" t="s">
        <v>19</v>
      </c>
      <c r="L6" s="26">
        <v>1</v>
      </c>
      <c r="M6" s="23">
        <v>-62.16</v>
      </c>
      <c r="O6" s="20">
        <v>-315</v>
      </c>
      <c r="Q6" s="23">
        <v>-29.3</v>
      </c>
      <c r="R6" s="26">
        <v>1</v>
      </c>
      <c r="T6" s="33">
        <f t="shared" si="0"/>
        <v>1.0350379595666639</v>
      </c>
      <c r="X6" s="20">
        <v>-24.345500000000001</v>
      </c>
      <c r="Y6" s="20">
        <v>-24</v>
      </c>
      <c r="Z6" s="20">
        <v>-24.345500000000001</v>
      </c>
      <c r="AA6" s="26">
        <f t="shared" si="1"/>
        <v>-304.28798</v>
      </c>
    </row>
    <row r="7" spans="1:86">
      <c r="A7" s="26">
        <v>5</v>
      </c>
      <c r="B7" s="10" t="s">
        <v>253</v>
      </c>
      <c r="C7" s="10">
        <v>1992</v>
      </c>
      <c r="D7" s="43" t="s">
        <v>252</v>
      </c>
      <c r="E7" s="10" t="s">
        <v>26</v>
      </c>
      <c r="F7" s="23">
        <v>-2.7</v>
      </c>
      <c r="G7" s="23">
        <v>-57.3</v>
      </c>
      <c r="H7" s="10" t="s">
        <v>16</v>
      </c>
      <c r="I7" s="10" t="s">
        <v>17</v>
      </c>
      <c r="J7" s="10" t="s">
        <v>22</v>
      </c>
      <c r="K7" s="10" t="s">
        <v>19</v>
      </c>
      <c r="L7" s="26">
        <v>1</v>
      </c>
      <c r="M7" s="23">
        <v>-63.8</v>
      </c>
      <c r="O7" s="20">
        <v>-308</v>
      </c>
      <c r="Q7" s="23">
        <v>-23.5</v>
      </c>
      <c r="R7" s="26">
        <v>1</v>
      </c>
      <c r="T7" s="33">
        <f t="shared" si="0"/>
        <v>1.0430463576158939</v>
      </c>
      <c r="U7" s="20">
        <v>-28</v>
      </c>
      <c r="V7" s="26">
        <v>1</v>
      </c>
      <c r="X7" s="20">
        <v>-28.041640000000001</v>
      </c>
      <c r="Y7" s="20">
        <v>-28</v>
      </c>
      <c r="Z7" s="20">
        <v>-28</v>
      </c>
      <c r="AA7" s="26">
        <f t="shared" si="1"/>
        <v>-295.68</v>
      </c>
      <c r="AB7" s="26">
        <f>O7-(U7*0.5)</f>
        <v>-294</v>
      </c>
    </row>
    <row r="8" spans="1:86">
      <c r="A8" s="26">
        <v>6</v>
      </c>
      <c r="B8" s="10" t="s">
        <v>253</v>
      </c>
      <c r="C8" s="10">
        <v>1992</v>
      </c>
      <c r="D8" s="43" t="s">
        <v>252</v>
      </c>
      <c r="E8" s="10" t="s">
        <v>27</v>
      </c>
      <c r="F8" s="23">
        <v>-2.7</v>
      </c>
      <c r="G8" s="23">
        <v>-57.7</v>
      </c>
      <c r="H8" s="10" t="s">
        <v>16</v>
      </c>
      <c r="I8" s="10" t="s">
        <v>17</v>
      </c>
      <c r="J8" s="10" t="s">
        <v>22</v>
      </c>
      <c r="K8" s="10" t="s">
        <v>19</v>
      </c>
      <c r="L8" s="26">
        <v>1</v>
      </c>
      <c r="M8" s="23">
        <v>-61.3</v>
      </c>
      <c r="O8" s="20">
        <v>-283</v>
      </c>
      <c r="Q8" s="23">
        <v>-18.3</v>
      </c>
      <c r="R8" s="26">
        <v>1</v>
      </c>
      <c r="T8" s="33">
        <f t="shared" si="0"/>
        <v>1.0458080323852137</v>
      </c>
      <c r="X8" s="20">
        <v>-27.066800000000001</v>
      </c>
      <c r="Y8" s="20">
        <v>-27</v>
      </c>
      <c r="Z8" s="20">
        <v>-27.066800000000001</v>
      </c>
      <c r="AA8" s="26">
        <f t="shared" si="1"/>
        <v>-271.09060799999997</v>
      </c>
    </row>
    <row r="9" spans="1:86">
      <c r="A9" s="26">
        <v>7</v>
      </c>
      <c r="B9" s="10" t="s">
        <v>28</v>
      </c>
      <c r="C9" s="10">
        <v>1986</v>
      </c>
      <c r="E9" s="10" t="s">
        <v>29</v>
      </c>
      <c r="F9" s="23">
        <v>-2.04</v>
      </c>
      <c r="G9" s="23">
        <v>29.2</v>
      </c>
      <c r="H9" s="10" t="s">
        <v>16</v>
      </c>
      <c r="I9" s="10" t="s">
        <v>30</v>
      </c>
      <c r="J9" s="10" t="s">
        <v>31</v>
      </c>
      <c r="K9" s="10" t="s">
        <v>19</v>
      </c>
      <c r="L9" s="26">
        <v>5</v>
      </c>
      <c r="M9" s="23">
        <v>-44.86</v>
      </c>
      <c r="N9" s="27">
        <v>1.6501515081955345</v>
      </c>
      <c r="O9" s="20">
        <v>-301.8</v>
      </c>
      <c r="P9" s="20">
        <v>19.044684297724654</v>
      </c>
      <c r="U9" s="20">
        <v>-45</v>
      </c>
      <c r="V9" s="26">
        <v>1</v>
      </c>
      <c r="X9" s="20">
        <v>-7.442E-2</v>
      </c>
      <c r="Y9" s="20">
        <v>0</v>
      </c>
      <c r="Z9" s="20">
        <v>-45</v>
      </c>
      <c r="AA9" s="26">
        <f t="shared" si="1"/>
        <v>-282</v>
      </c>
      <c r="AB9" s="26">
        <f>O9-(U9*0.5)</f>
        <v>-279.3</v>
      </c>
    </row>
    <row r="10" spans="1:86">
      <c r="A10" s="26">
        <v>8</v>
      </c>
      <c r="B10" s="10" t="s">
        <v>32</v>
      </c>
      <c r="C10" s="10">
        <v>2002</v>
      </c>
      <c r="E10" s="10" t="s">
        <v>33</v>
      </c>
      <c r="F10" s="23">
        <v>6.1</v>
      </c>
      <c r="G10" s="23">
        <v>102</v>
      </c>
      <c r="H10" s="10" t="s">
        <v>34</v>
      </c>
      <c r="I10" s="10" t="s">
        <v>35</v>
      </c>
      <c r="J10" s="10" t="s">
        <v>22</v>
      </c>
      <c r="K10" s="10" t="s">
        <v>19</v>
      </c>
      <c r="L10" s="26">
        <v>5</v>
      </c>
      <c r="M10" s="23">
        <v>-64</v>
      </c>
      <c r="N10" s="27">
        <v>4.5</v>
      </c>
      <c r="O10" s="20">
        <v>-323</v>
      </c>
      <c r="P10" s="20">
        <v>14</v>
      </c>
      <c r="Q10" s="23">
        <v>-9.9</v>
      </c>
      <c r="R10" s="26">
        <v>5</v>
      </c>
      <c r="S10" s="23">
        <v>5.0999999999999996</v>
      </c>
      <c r="T10" s="33">
        <f>(Q10+1000)/(M10+1000)</f>
        <v>1.0577991452991453</v>
      </c>
      <c r="X10" s="20">
        <v>-41.590029999999999</v>
      </c>
      <c r="Y10" s="20">
        <v>-42</v>
      </c>
      <c r="Z10" s="20">
        <v>-25.910000000000004</v>
      </c>
      <c r="AA10" s="26">
        <f t="shared" si="1"/>
        <v>-311.59960000000001</v>
      </c>
    </row>
    <row r="11" spans="1:86">
      <c r="A11" s="26">
        <v>9</v>
      </c>
      <c r="B11" s="10" t="s">
        <v>32</v>
      </c>
      <c r="C11" s="10">
        <v>2003</v>
      </c>
      <c r="E11" s="10" t="s">
        <v>36</v>
      </c>
      <c r="F11" s="23">
        <v>6.33</v>
      </c>
      <c r="G11" s="23">
        <v>101.8</v>
      </c>
      <c r="H11" s="10" t="s">
        <v>34</v>
      </c>
      <c r="I11" s="10" t="s">
        <v>37</v>
      </c>
      <c r="J11" s="10" t="s">
        <v>22</v>
      </c>
      <c r="K11" s="10" t="s">
        <v>19</v>
      </c>
      <c r="L11" s="26">
        <v>8</v>
      </c>
      <c r="M11" s="23">
        <v>-56.5</v>
      </c>
      <c r="N11" s="27">
        <v>4.5999999999999996</v>
      </c>
      <c r="O11" s="20">
        <v>-322</v>
      </c>
      <c r="P11" s="20">
        <v>6</v>
      </c>
      <c r="Q11" s="23">
        <v>-21.6</v>
      </c>
      <c r="R11" s="26">
        <v>8</v>
      </c>
      <c r="S11" s="23">
        <v>3.4</v>
      </c>
      <c r="T11" s="33">
        <f>(Q11+1000)/(M11+1000)</f>
        <v>1.0369899311075781</v>
      </c>
      <c r="X11" s="20">
        <v>-41.322299999999998</v>
      </c>
      <c r="Y11" s="20">
        <v>-41</v>
      </c>
      <c r="Z11" s="20">
        <v>-24.85</v>
      </c>
      <c r="AA11" s="26">
        <f t="shared" si="1"/>
        <v>-311.06599999999997</v>
      </c>
    </row>
    <row r="12" spans="1:86">
      <c r="A12" s="26">
        <v>10</v>
      </c>
      <c r="B12" s="10" t="s">
        <v>32</v>
      </c>
      <c r="C12" s="10">
        <v>2002</v>
      </c>
      <c r="E12" s="10" t="s">
        <v>38</v>
      </c>
      <c r="F12" s="23">
        <v>6.33</v>
      </c>
      <c r="G12" s="23">
        <v>101.8</v>
      </c>
      <c r="H12" s="10" t="s">
        <v>34</v>
      </c>
      <c r="I12" s="10" t="s">
        <v>37</v>
      </c>
      <c r="J12" s="10" t="s">
        <v>22</v>
      </c>
      <c r="K12" s="10" t="s">
        <v>19</v>
      </c>
      <c r="L12" s="26">
        <v>4</v>
      </c>
      <c r="M12" s="23">
        <v>-51.5</v>
      </c>
      <c r="N12" s="27">
        <v>7.1</v>
      </c>
      <c r="O12" s="20">
        <v>-325</v>
      </c>
      <c r="P12" s="20">
        <v>8</v>
      </c>
      <c r="Q12" s="23">
        <v>-18.600000000000001</v>
      </c>
      <c r="R12" s="26">
        <v>5</v>
      </c>
      <c r="S12" s="23">
        <v>4.0999999999999996</v>
      </c>
      <c r="T12" s="33">
        <f>(Q12+1000)/(M12+1000)</f>
        <v>1.0346863468634686</v>
      </c>
      <c r="X12" s="20">
        <v>-41.322299999999998</v>
      </c>
      <c r="Y12" s="20">
        <v>-41</v>
      </c>
      <c r="Z12" s="20">
        <v>-24.85</v>
      </c>
      <c r="AA12" s="26">
        <f t="shared" si="1"/>
        <v>-314.06599999999997</v>
      </c>
    </row>
    <row r="13" spans="1:86">
      <c r="A13" s="26">
        <v>11</v>
      </c>
      <c r="B13" s="10" t="s">
        <v>32</v>
      </c>
      <c r="C13" s="10">
        <v>2002</v>
      </c>
      <c r="E13" s="10" t="s">
        <v>39</v>
      </c>
      <c r="F13" s="23">
        <v>6.33</v>
      </c>
      <c r="G13" s="23">
        <v>101.8</v>
      </c>
      <c r="H13" s="10" t="s">
        <v>16</v>
      </c>
      <c r="I13" s="10" t="s">
        <v>40</v>
      </c>
      <c r="J13" s="10" t="s">
        <v>22</v>
      </c>
      <c r="K13" s="10" t="s">
        <v>19</v>
      </c>
      <c r="L13" s="26">
        <v>5</v>
      </c>
      <c r="M13" s="23">
        <v>-68.3</v>
      </c>
      <c r="N13" s="27">
        <v>3.4</v>
      </c>
      <c r="O13" s="20">
        <v>-288</v>
      </c>
      <c r="P13" s="20">
        <v>25</v>
      </c>
      <c r="Q13" s="23">
        <v>-14.8</v>
      </c>
      <c r="R13" s="26">
        <v>5</v>
      </c>
      <c r="S13" s="23">
        <v>3.9</v>
      </c>
      <c r="T13" s="33">
        <f>(Q13+1000)/(M13+1000)</f>
        <v>1.0574219169260493</v>
      </c>
      <c r="X13" s="20">
        <v>-41.322299999999998</v>
      </c>
      <c r="Y13" s="20">
        <v>-41</v>
      </c>
      <c r="Z13" s="20">
        <v>-41.322299999999998</v>
      </c>
      <c r="AA13" s="26">
        <f t="shared" si="1"/>
        <v>-269.81818800000002</v>
      </c>
    </row>
    <row r="14" spans="1:86">
      <c r="A14" s="26">
        <v>12</v>
      </c>
      <c r="B14" s="10" t="s">
        <v>32</v>
      </c>
      <c r="C14" s="10">
        <v>2002</v>
      </c>
      <c r="E14" s="10" t="s">
        <v>41</v>
      </c>
      <c r="F14" s="23">
        <v>6.58</v>
      </c>
      <c r="G14" s="23">
        <v>101.6</v>
      </c>
      <c r="H14" s="10" t="s">
        <v>34</v>
      </c>
      <c r="I14" s="10" t="s">
        <v>35</v>
      </c>
      <c r="J14" s="10" t="s">
        <v>22</v>
      </c>
      <c r="K14" s="10" t="s">
        <v>19</v>
      </c>
      <c r="L14" s="26">
        <v>6</v>
      </c>
      <c r="M14" s="23">
        <v>-67.599999999999994</v>
      </c>
      <c r="N14" s="27">
        <v>7.4</v>
      </c>
      <c r="O14" s="20">
        <v>-343.25</v>
      </c>
      <c r="P14" s="20">
        <v>2</v>
      </c>
      <c r="Q14" s="23">
        <v>-23.4</v>
      </c>
      <c r="R14" s="26">
        <v>1</v>
      </c>
      <c r="T14" s="33">
        <f>(Q14+1000)/(M14+1000)</f>
        <v>1.0474045474045475</v>
      </c>
      <c r="X14" s="20">
        <v>-42.834310000000002</v>
      </c>
      <c r="Y14" s="20">
        <v>-43</v>
      </c>
      <c r="Z14" s="20">
        <v>-26.970000000000006</v>
      </c>
      <c r="AA14" s="26">
        <f t="shared" si="1"/>
        <v>-331.38319999999999</v>
      </c>
    </row>
    <row r="15" spans="1:86">
      <c r="A15" s="26">
        <v>13</v>
      </c>
      <c r="B15" s="10" t="s">
        <v>42</v>
      </c>
      <c r="C15" s="10">
        <v>1993</v>
      </c>
      <c r="D15" s="43" t="s">
        <v>252</v>
      </c>
      <c r="E15" s="10" t="s">
        <v>43</v>
      </c>
      <c r="F15" s="23">
        <v>25.28</v>
      </c>
      <c r="G15" s="24">
        <v>-80.8</v>
      </c>
      <c r="H15" s="11" t="s">
        <v>34</v>
      </c>
      <c r="I15" s="10" t="s">
        <v>44</v>
      </c>
      <c r="J15" s="10" t="s">
        <v>229</v>
      </c>
      <c r="K15" s="10" t="s">
        <v>19</v>
      </c>
      <c r="L15" s="26">
        <v>3</v>
      </c>
      <c r="M15" s="34">
        <v>-62.207500000000003</v>
      </c>
      <c r="N15" s="35">
        <v>3.5609999999999999</v>
      </c>
      <c r="O15" s="20">
        <v>-297.9667</v>
      </c>
      <c r="P15" s="20">
        <v>18.6511</v>
      </c>
      <c r="Q15" s="34"/>
      <c r="R15" s="31"/>
      <c r="S15" s="34"/>
      <c r="T15" s="36"/>
      <c r="X15" s="22">
        <v>-11.050230000000001</v>
      </c>
      <c r="Y15" s="20">
        <v>-11</v>
      </c>
      <c r="Z15" s="20">
        <v>6.9499999999999993</v>
      </c>
      <c r="AA15" s="26">
        <f t="shared" si="1"/>
        <v>-301.0247</v>
      </c>
    </row>
    <row r="16" spans="1:86">
      <c r="A16" s="26">
        <v>14</v>
      </c>
      <c r="B16" s="10" t="s">
        <v>45</v>
      </c>
      <c r="C16" s="10">
        <v>1988</v>
      </c>
      <c r="D16" s="43" t="s">
        <v>252</v>
      </c>
      <c r="E16" s="10" t="s">
        <v>43</v>
      </c>
      <c r="F16" s="23">
        <v>25.3</v>
      </c>
      <c r="G16" s="24">
        <v>-80.89</v>
      </c>
      <c r="H16" s="11" t="s">
        <v>34</v>
      </c>
      <c r="I16" s="10" t="s">
        <v>35</v>
      </c>
      <c r="J16" s="10" t="s">
        <v>230</v>
      </c>
      <c r="K16" s="10" t="s">
        <v>46</v>
      </c>
      <c r="L16" s="26">
        <v>13</v>
      </c>
      <c r="M16" s="34">
        <v>-64.349999999999994</v>
      </c>
      <c r="N16" s="35">
        <v>2.6783000000000001</v>
      </c>
      <c r="O16" s="30">
        <v>-284.27140000000003</v>
      </c>
      <c r="P16" s="30">
        <v>21.1782</v>
      </c>
      <c r="Q16" s="34"/>
      <c r="R16" s="31"/>
      <c r="S16" s="34"/>
      <c r="T16" s="36"/>
      <c r="X16" s="22">
        <v>-11.04377</v>
      </c>
      <c r="Y16" s="20">
        <v>-11</v>
      </c>
      <c r="Z16" s="20">
        <v>6.9499999999999993</v>
      </c>
      <c r="AA16" s="26">
        <f t="shared" si="1"/>
        <v>-287.32940000000002</v>
      </c>
    </row>
    <row r="17" spans="1:86">
      <c r="A17" s="26">
        <v>15</v>
      </c>
      <c r="B17" s="10" t="s">
        <v>42</v>
      </c>
      <c r="C17" s="10">
        <v>1993</v>
      </c>
      <c r="D17" s="43" t="s">
        <v>252</v>
      </c>
      <c r="E17" s="10" t="s">
        <v>43</v>
      </c>
      <c r="F17" s="23">
        <v>25.32</v>
      </c>
      <c r="G17" s="24">
        <v>-80.83</v>
      </c>
      <c r="H17" s="11" t="s">
        <v>34</v>
      </c>
      <c r="I17" s="10" t="s">
        <v>44</v>
      </c>
      <c r="J17" s="10" t="s">
        <v>165</v>
      </c>
      <c r="K17" s="10" t="s">
        <v>19</v>
      </c>
      <c r="L17" s="26">
        <v>1</v>
      </c>
      <c r="M17" s="34">
        <v>-64.206699999999998</v>
      </c>
      <c r="N17" s="35">
        <v>0.98650000000000004</v>
      </c>
      <c r="O17" s="20">
        <v>-285.7</v>
      </c>
      <c r="Q17" s="34"/>
      <c r="R17" s="31"/>
      <c r="S17" s="34"/>
      <c r="T17" s="36"/>
      <c r="X17" s="22">
        <v>-11.050230000000001</v>
      </c>
      <c r="Y17" s="20">
        <v>-11</v>
      </c>
      <c r="Z17" s="20">
        <v>6.9499999999999993</v>
      </c>
      <c r="AA17" s="26">
        <f t="shared" si="1"/>
        <v>-288.75799999999998</v>
      </c>
    </row>
    <row r="18" spans="1:86">
      <c r="A18" s="26">
        <v>16</v>
      </c>
      <c r="B18" s="10" t="s">
        <v>42</v>
      </c>
      <c r="C18" s="10">
        <v>1993</v>
      </c>
      <c r="D18" s="43" t="s">
        <v>252</v>
      </c>
      <c r="E18" s="10" t="s">
        <v>47</v>
      </c>
      <c r="F18" s="23">
        <v>25.48</v>
      </c>
      <c r="G18" s="24">
        <v>-80.45</v>
      </c>
      <c r="H18" s="11" t="s">
        <v>34</v>
      </c>
      <c r="I18" s="10" t="s">
        <v>44</v>
      </c>
      <c r="J18" s="10" t="s">
        <v>165</v>
      </c>
      <c r="K18" s="10" t="s">
        <v>19</v>
      </c>
      <c r="L18" s="26">
        <v>1</v>
      </c>
      <c r="M18" s="34">
        <v>-66.209999999999994</v>
      </c>
      <c r="N18" s="35">
        <v>1.6987000000000001</v>
      </c>
      <c r="O18" s="20">
        <v>-282.39999999999998</v>
      </c>
      <c r="Q18" s="34"/>
      <c r="R18" s="31"/>
      <c r="S18" s="34"/>
      <c r="T18" s="36"/>
      <c r="X18" s="22">
        <v>-11.65061</v>
      </c>
      <c r="Y18" s="20">
        <v>-12</v>
      </c>
      <c r="Z18" s="20">
        <v>5.8899999999999988</v>
      </c>
      <c r="AA18" s="26">
        <f t="shared" si="1"/>
        <v>-284.99159999999995</v>
      </c>
    </row>
    <row r="19" spans="1:86">
      <c r="A19" s="26">
        <v>17</v>
      </c>
      <c r="B19" s="10" t="s">
        <v>45</v>
      </c>
      <c r="C19" s="10">
        <v>1988</v>
      </c>
      <c r="D19" s="43" t="s">
        <v>252</v>
      </c>
      <c r="E19" s="10" t="s">
        <v>48</v>
      </c>
      <c r="F19" s="23">
        <v>26.05</v>
      </c>
      <c r="G19" s="24">
        <v>-81.08</v>
      </c>
      <c r="H19" s="11" t="s">
        <v>34</v>
      </c>
      <c r="I19" s="10" t="s">
        <v>35</v>
      </c>
      <c r="J19" s="10" t="s">
        <v>230</v>
      </c>
      <c r="K19" s="10" t="s">
        <v>46</v>
      </c>
      <c r="L19" s="26">
        <v>5</v>
      </c>
      <c r="M19" s="34">
        <v>-61.6</v>
      </c>
      <c r="N19" s="35">
        <v>2.0651999999999999</v>
      </c>
      <c r="O19" s="30">
        <v>-293.82</v>
      </c>
      <c r="P19" s="30">
        <v>4.6062000000000003</v>
      </c>
      <c r="Q19" s="34"/>
      <c r="R19" s="31"/>
      <c r="S19" s="34"/>
      <c r="T19" s="36"/>
      <c r="X19" s="22">
        <v>-10.458920000000001</v>
      </c>
      <c r="Y19" s="20">
        <v>-10</v>
      </c>
      <c r="Z19" s="20">
        <v>8.009999999999998</v>
      </c>
      <c r="AA19" s="26">
        <f t="shared" si="1"/>
        <v>-297.34440000000001</v>
      </c>
    </row>
    <row r="20" spans="1:86" s="21" customFormat="1">
      <c r="A20" s="26">
        <v>18</v>
      </c>
      <c r="B20" s="21" t="s">
        <v>248</v>
      </c>
      <c r="C20" s="21" t="s">
        <v>250</v>
      </c>
      <c r="D20" s="43" t="s">
        <v>252</v>
      </c>
      <c r="E20" s="21" t="s">
        <v>231</v>
      </c>
      <c r="F20" s="23">
        <v>27.75</v>
      </c>
      <c r="G20" s="24">
        <v>-82.63</v>
      </c>
      <c r="H20" s="25" t="s">
        <v>16</v>
      </c>
      <c r="I20" s="21" t="s">
        <v>30</v>
      </c>
      <c r="J20" s="10" t="s">
        <v>232</v>
      </c>
      <c r="K20" s="10" t="s">
        <v>233</v>
      </c>
      <c r="L20" s="26">
        <v>32</v>
      </c>
      <c r="M20" s="23">
        <v>-57.3</v>
      </c>
      <c r="N20" s="27">
        <v>2.73</v>
      </c>
      <c r="O20" s="20">
        <v>-303</v>
      </c>
      <c r="P20" s="20">
        <v>11.2</v>
      </c>
      <c r="Q20" s="23">
        <v>-7.2</v>
      </c>
      <c r="R20" s="26">
        <v>4</v>
      </c>
      <c r="S20" s="23">
        <v>2</v>
      </c>
      <c r="T20" s="33">
        <f>(Q20+1000)/(M20+1000)</f>
        <v>1.0531452211732257</v>
      </c>
      <c r="U20" s="20">
        <v>-2.5</v>
      </c>
      <c r="V20" s="26">
        <v>2</v>
      </c>
      <c r="W20" s="20">
        <v>0.7</v>
      </c>
      <c r="X20" s="22">
        <v>-11.26329</v>
      </c>
      <c r="Y20" s="20">
        <v>-11</v>
      </c>
      <c r="Z20" s="20">
        <v>-2.5</v>
      </c>
      <c r="AA20" s="26">
        <f t="shared" si="1"/>
        <v>-301.89999999999998</v>
      </c>
      <c r="AB20" s="26">
        <f>O20-(U20*0.5)</f>
        <v>-301.75</v>
      </c>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row>
    <row r="21" spans="1:86" s="42" customFormat="1">
      <c r="A21" s="26">
        <v>19</v>
      </c>
      <c r="B21" s="21" t="s">
        <v>249</v>
      </c>
      <c r="C21" s="42" t="s">
        <v>250</v>
      </c>
      <c r="D21" s="43" t="s">
        <v>252</v>
      </c>
      <c r="E21" s="42" t="s">
        <v>49</v>
      </c>
      <c r="F21" s="23">
        <v>27.75</v>
      </c>
      <c r="G21" s="24">
        <v>-82.63</v>
      </c>
      <c r="H21" s="11" t="s">
        <v>16</v>
      </c>
      <c r="I21" s="42" t="s">
        <v>30</v>
      </c>
      <c r="J21" s="42" t="s">
        <v>230</v>
      </c>
      <c r="K21" s="42" t="s">
        <v>19</v>
      </c>
      <c r="L21" s="26">
        <v>7</v>
      </c>
      <c r="M21" s="23">
        <v>-64.3</v>
      </c>
      <c r="N21" s="27">
        <v>6.34</v>
      </c>
      <c r="O21" s="20">
        <v>-292</v>
      </c>
      <c r="P21" s="20">
        <v>19</v>
      </c>
      <c r="Q21" s="23">
        <v>-7.8285714285714301</v>
      </c>
      <c r="R21" s="26">
        <v>7</v>
      </c>
      <c r="S21" s="23">
        <v>3.7</v>
      </c>
      <c r="T21" s="33">
        <f>(Q21+1000)/(M21+1000)</f>
        <v>1.0603520664437625</v>
      </c>
      <c r="U21" s="20">
        <v>-9.33</v>
      </c>
      <c r="V21" s="26">
        <v>3</v>
      </c>
      <c r="W21" s="20">
        <v>2.1</v>
      </c>
      <c r="X21" s="22">
        <v>-11.26329</v>
      </c>
      <c r="Y21" s="20">
        <v>-11</v>
      </c>
      <c r="Z21" s="20">
        <v>-9.33</v>
      </c>
      <c r="AA21" s="26">
        <f t="shared" si="1"/>
        <v>-287.89479999999998</v>
      </c>
      <c r="AB21" s="26">
        <f>O21-(U21*0.5)</f>
        <v>-287.33499999999998</v>
      </c>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29"/>
      <c r="BC21" s="29"/>
      <c r="BD21" s="29"/>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row>
    <row r="22" spans="1:86">
      <c r="A22" s="26">
        <v>20</v>
      </c>
      <c r="B22" s="10" t="s">
        <v>50</v>
      </c>
      <c r="C22" s="10">
        <v>1992</v>
      </c>
      <c r="E22" s="10" t="s">
        <v>51</v>
      </c>
      <c r="F22" s="23">
        <v>27.75</v>
      </c>
      <c r="G22" s="24">
        <v>-82.63</v>
      </c>
      <c r="H22" s="11" t="s">
        <v>34</v>
      </c>
      <c r="I22" s="10" t="s">
        <v>35</v>
      </c>
      <c r="J22" s="10" t="s">
        <v>230</v>
      </c>
      <c r="K22" s="10" t="s">
        <v>46</v>
      </c>
      <c r="L22" s="26">
        <v>20</v>
      </c>
      <c r="M22" s="34">
        <v>-68.775000000000006</v>
      </c>
      <c r="N22" s="35">
        <v>1.1782999999999999</v>
      </c>
      <c r="O22" s="30">
        <v>-294.49</v>
      </c>
      <c r="P22" s="30">
        <v>5.9901999999999997</v>
      </c>
      <c r="Q22" s="34"/>
      <c r="R22" s="31"/>
      <c r="S22" s="34"/>
      <c r="T22" s="36"/>
      <c r="X22" s="22">
        <v>-11.26329</v>
      </c>
      <c r="Y22" s="20">
        <v>-11</v>
      </c>
      <c r="Z22" s="20">
        <v>6.9499999999999993</v>
      </c>
      <c r="AA22" s="26">
        <f t="shared" si="1"/>
        <v>-297.548</v>
      </c>
    </row>
    <row r="23" spans="1:86">
      <c r="A23" s="26">
        <v>21</v>
      </c>
      <c r="B23" s="10" t="s">
        <v>50</v>
      </c>
      <c r="C23" s="10">
        <v>1992</v>
      </c>
      <c r="E23" s="10" t="s">
        <v>52</v>
      </c>
      <c r="F23" s="23">
        <v>27.75</v>
      </c>
      <c r="G23" s="24">
        <v>-82.63</v>
      </c>
      <c r="H23" s="11" t="s">
        <v>16</v>
      </c>
      <c r="I23" s="10" t="s">
        <v>30</v>
      </c>
      <c r="J23" s="10" t="s">
        <v>230</v>
      </c>
      <c r="K23" s="10" t="s">
        <v>46</v>
      </c>
      <c r="L23" s="26">
        <v>17</v>
      </c>
      <c r="M23" s="34">
        <v>-56.8</v>
      </c>
      <c r="N23" s="35">
        <v>1.7</v>
      </c>
      <c r="O23" s="30">
        <v>-296</v>
      </c>
      <c r="P23" s="30">
        <v>6</v>
      </c>
      <c r="Q23" s="34"/>
      <c r="R23" s="31"/>
      <c r="S23" s="34"/>
      <c r="T23" s="36"/>
      <c r="X23" s="22">
        <v>-11.26329</v>
      </c>
      <c r="Y23" s="20">
        <v>-11</v>
      </c>
      <c r="Z23" s="20">
        <v>-11.26329</v>
      </c>
      <c r="AA23" s="26">
        <f t="shared" si="1"/>
        <v>-291.04415239999997</v>
      </c>
    </row>
    <row r="24" spans="1:86">
      <c r="A24" s="26">
        <v>22</v>
      </c>
      <c r="B24" s="10" t="s">
        <v>50</v>
      </c>
      <c r="C24" s="42">
        <v>1992</v>
      </c>
      <c r="E24" s="10" t="s">
        <v>53</v>
      </c>
      <c r="F24" s="23">
        <v>27.75</v>
      </c>
      <c r="G24" s="24">
        <v>-82.63</v>
      </c>
      <c r="H24" s="11" t="s">
        <v>16</v>
      </c>
      <c r="I24" s="10" t="s">
        <v>30</v>
      </c>
      <c r="J24" s="10" t="s">
        <v>230</v>
      </c>
      <c r="K24" s="10" t="s">
        <v>46</v>
      </c>
      <c r="L24" s="26">
        <v>23</v>
      </c>
      <c r="M24" s="34">
        <v>-55.4</v>
      </c>
      <c r="N24" s="35">
        <v>4.5</v>
      </c>
      <c r="O24" s="30">
        <v>-317.5</v>
      </c>
      <c r="P24" s="30">
        <v>11</v>
      </c>
      <c r="Q24" s="34"/>
      <c r="R24" s="31"/>
      <c r="S24" s="34"/>
      <c r="T24" s="36"/>
      <c r="X24" s="22">
        <v>-11.26329</v>
      </c>
      <c r="Y24" s="20">
        <v>-11</v>
      </c>
      <c r="Z24" s="20">
        <v>-11.26329</v>
      </c>
      <c r="AA24" s="26">
        <f t="shared" si="1"/>
        <v>-312.54415239999997</v>
      </c>
    </row>
    <row r="25" spans="1:86" s="42" customFormat="1">
      <c r="A25" s="26"/>
      <c r="B25" s="42" t="s">
        <v>50</v>
      </c>
      <c r="C25" s="42">
        <v>1992</v>
      </c>
      <c r="D25" s="43"/>
      <c r="E25" s="42" t="s">
        <v>49</v>
      </c>
      <c r="F25" s="23">
        <v>27.75</v>
      </c>
      <c r="G25" s="24">
        <v>-82.63</v>
      </c>
      <c r="H25" s="25" t="s">
        <v>16</v>
      </c>
      <c r="I25" s="21" t="s">
        <v>30</v>
      </c>
      <c r="J25" s="42" t="s">
        <v>232</v>
      </c>
      <c r="K25" s="42" t="s">
        <v>46</v>
      </c>
      <c r="L25" s="26">
        <v>29</v>
      </c>
      <c r="M25" s="34">
        <v>-59</v>
      </c>
      <c r="N25" s="35">
        <v>5.5</v>
      </c>
      <c r="O25" s="30">
        <v>-319</v>
      </c>
      <c r="P25" s="30">
        <v>21</v>
      </c>
      <c r="Q25" s="34"/>
      <c r="R25" s="31"/>
      <c r="S25" s="34"/>
      <c r="T25" s="36"/>
      <c r="U25" s="20"/>
      <c r="V25" s="26"/>
      <c r="W25" s="20"/>
      <c r="X25" s="22">
        <v>-11.26329</v>
      </c>
      <c r="Y25" s="20">
        <v>-11</v>
      </c>
      <c r="Z25" s="20">
        <v>-11</v>
      </c>
      <c r="AA25" s="26">
        <f t="shared" si="1"/>
        <v>-314.16000000000003</v>
      </c>
      <c r="AB25" s="26"/>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29"/>
      <c r="BC25" s="29"/>
      <c r="BD25" s="29"/>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row>
    <row r="26" spans="1:86">
      <c r="A26" s="26">
        <v>23</v>
      </c>
      <c r="B26" s="10" t="s">
        <v>249</v>
      </c>
      <c r="C26" s="10">
        <v>1986</v>
      </c>
      <c r="D26" s="43" t="s">
        <v>252</v>
      </c>
      <c r="E26" s="10" t="s">
        <v>54</v>
      </c>
      <c r="F26" s="23">
        <v>29.16</v>
      </c>
      <c r="G26" s="23">
        <v>-81.319999999999993</v>
      </c>
      <c r="H26" s="10" t="s">
        <v>16</v>
      </c>
      <c r="I26" s="10" t="s">
        <v>30</v>
      </c>
      <c r="J26" s="10" t="s">
        <v>230</v>
      </c>
      <c r="K26" s="10" t="s">
        <v>19</v>
      </c>
      <c r="L26" s="26">
        <v>3</v>
      </c>
      <c r="M26" s="23">
        <v>-63.933333333333337</v>
      </c>
      <c r="N26" s="27">
        <v>3.2868424564212608</v>
      </c>
      <c r="O26" s="20">
        <v>-271</v>
      </c>
      <c r="P26" s="20">
        <v>18.73</v>
      </c>
      <c r="Q26" s="23">
        <v>-3.27</v>
      </c>
      <c r="R26" s="26">
        <v>3</v>
      </c>
      <c r="S26" s="23">
        <v>0.75</v>
      </c>
      <c r="T26" s="33">
        <f>(Q26+1000)/(M26+1000)</f>
        <v>1.0648066377038674</v>
      </c>
      <c r="U26" s="20">
        <v>5</v>
      </c>
      <c r="V26" s="26">
        <v>1</v>
      </c>
      <c r="X26" s="20">
        <v>-13.25217</v>
      </c>
      <c r="Y26" s="20">
        <v>-13</v>
      </c>
      <c r="Z26" s="20">
        <v>5</v>
      </c>
      <c r="AA26" s="26">
        <f t="shared" si="1"/>
        <v>-273.2</v>
      </c>
      <c r="AB26" s="26">
        <f>O26-(U26*0.5)</f>
        <v>-273.5</v>
      </c>
    </row>
    <row r="27" spans="1:86">
      <c r="A27" s="26">
        <v>24</v>
      </c>
      <c r="B27" s="10" t="s">
        <v>249</v>
      </c>
      <c r="C27" s="10">
        <v>1986</v>
      </c>
      <c r="D27" s="43" t="s">
        <v>252</v>
      </c>
      <c r="E27" s="10" t="s">
        <v>55</v>
      </c>
      <c r="F27" s="23">
        <v>29.17</v>
      </c>
      <c r="G27" s="23">
        <v>-88.93</v>
      </c>
      <c r="H27" s="10" t="s">
        <v>16</v>
      </c>
      <c r="I27" s="10" t="s">
        <v>56</v>
      </c>
      <c r="J27" s="10" t="s">
        <v>230</v>
      </c>
      <c r="K27" s="10" t="s">
        <v>19</v>
      </c>
      <c r="L27" s="26">
        <v>3</v>
      </c>
      <c r="M27" s="23">
        <v>-60.1</v>
      </c>
      <c r="N27" s="27">
        <v>0.26457513110645881</v>
      </c>
      <c r="O27" s="20">
        <v>-341</v>
      </c>
      <c r="P27" s="20">
        <v>5.56</v>
      </c>
      <c r="Q27" s="23">
        <v>-12.2</v>
      </c>
      <c r="R27" s="26">
        <v>1</v>
      </c>
      <c r="T27" s="33">
        <f>(Q27+1000)/(M27+1000)</f>
        <v>1.0509628683902543</v>
      </c>
      <c r="U27" s="20">
        <v>-48</v>
      </c>
      <c r="V27" s="26">
        <v>1</v>
      </c>
      <c r="X27" s="20">
        <v>-18.899999999999999</v>
      </c>
      <c r="Y27" s="20">
        <v>-19</v>
      </c>
      <c r="Z27" s="20">
        <v>-48</v>
      </c>
      <c r="AA27" s="26">
        <f t="shared" si="1"/>
        <v>-319.88</v>
      </c>
      <c r="AB27" s="26">
        <f>O27-(U27*0.5)</f>
        <v>-317</v>
      </c>
    </row>
    <row r="28" spans="1:86">
      <c r="A28" s="26">
        <v>25</v>
      </c>
      <c r="B28" s="10" t="s">
        <v>57</v>
      </c>
      <c r="C28" s="10">
        <v>1997</v>
      </c>
      <c r="E28" s="10" t="s">
        <v>58</v>
      </c>
      <c r="F28" s="23">
        <v>29.95</v>
      </c>
      <c r="G28" s="24">
        <v>-94.5</v>
      </c>
      <c r="H28" s="11" t="s">
        <v>34</v>
      </c>
      <c r="I28" s="10" t="s">
        <v>37</v>
      </c>
      <c r="J28" s="10" t="s">
        <v>230</v>
      </c>
      <c r="K28" s="10" t="s">
        <v>19</v>
      </c>
      <c r="L28" s="26">
        <v>6</v>
      </c>
      <c r="M28" s="34">
        <v>-44.154499999999999</v>
      </c>
      <c r="N28" s="35">
        <v>2.7223000000000002</v>
      </c>
      <c r="O28" s="30">
        <v>-313.89999999999998</v>
      </c>
      <c r="P28" s="30">
        <v>11.1411</v>
      </c>
      <c r="Q28" s="34"/>
      <c r="R28" s="31"/>
      <c r="S28" s="34"/>
      <c r="T28" s="36"/>
      <c r="X28" s="22">
        <v>-20.255669999999999</v>
      </c>
      <c r="Y28" s="20">
        <v>-20</v>
      </c>
      <c r="Z28" s="20">
        <v>-2.5900000000000034</v>
      </c>
      <c r="AA28" s="26">
        <f t="shared" si="1"/>
        <v>-312.7604</v>
      </c>
    </row>
    <row r="29" spans="1:86">
      <c r="A29" s="26">
        <v>26</v>
      </c>
      <c r="B29" s="10" t="s">
        <v>59</v>
      </c>
      <c r="C29" s="10">
        <v>1994</v>
      </c>
      <c r="D29" s="43" t="s">
        <v>252</v>
      </c>
      <c r="E29" s="10" t="s">
        <v>60</v>
      </c>
      <c r="F29" s="23">
        <v>30</v>
      </c>
      <c r="G29" s="23">
        <v>-93</v>
      </c>
      <c r="H29" s="10" t="s">
        <v>34</v>
      </c>
      <c r="I29" s="10" t="s">
        <v>37</v>
      </c>
      <c r="J29" s="10" t="s">
        <v>61</v>
      </c>
      <c r="K29" s="10" t="s">
        <v>19</v>
      </c>
      <c r="L29" s="26">
        <v>1</v>
      </c>
      <c r="M29" s="23">
        <v>-63.2</v>
      </c>
      <c r="N29" s="27">
        <v>2.9</v>
      </c>
      <c r="O29" s="20">
        <v>-310</v>
      </c>
      <c r="P29" s="20">
        <v>13</v>
      </c>
      <c r="X29" s="20">
        <v>-20.86552</v>
      </c>
      <c r="Y29" s="20">
        <v>-21</v>
      </c>
      <c r="Z29" s="20">
        <v>-3.6500000000000021</v>
      </c>
      <c r="AA29" s="26">
        <f t="shared" si="1"/>
        <v>-308.39400000000001</v>
      </c>
    </row>
    <row r="30" spans="1:86">
      <c r="A30" s="26">
        <v>27</v>
      </c>
      <c r="B30" s="10" t="s">
        <v>62</v>
      </c>
      <c r="C30" s="10">
        <v>1994</v>
      </c>
      <c r="D30" s="43" t="s">
        <v>252</v>
      </c>
      <c r="E30" s="10" t="s">
        <v>63</v>
      </c>
      <c r="F30" s="23">
        <v>30.01</v>
      </c>
      <c r="G30" s="23">
        <v>-84.21</v>
      </c>
      <c r="H30" s="10" t="s">
        <v>34</v>
      </c>
      <c r="I30" s="10" t="s">
        <v>35</v>
      </c>
      <c r="J30" s="10" t="s">
        <v>64</v>
      </c>
      <c r="K30" s="10" t="s">
        <v>19</v>
      </c>
      <c r="L30" s="26">
        <v>30</v>
      </c>
      <c r="M30" s="23">
        <v>-53.953333333333305</v>
      </c>
      <c r="N30" s="27">
        <v>4.7916402298121286</v>
      </c>
      <c r="O30" s="20">
        <v>-286.83333333333331</v>
      </c>
      <c r="P30" s="20">
        <v>33.759885738216973</v>
      </c>
      <c r="X30" s="20">
        <v>-17.2</v>
      </c>
      <c r="Y30" s="20">
        <v>-17</v>
      </c>
      <c r="Z30" s="20">
        <v>0.58999999999999986</v>
      </c>
      <c r="AA30" s="26">
        <f t="shared" si="1"/>
        <v>-287.09293333333329</v>
      </c>
    </row>
    <row r="31" spans="1:86">
      <c r="A31" s="26">
        <v>28</v>
      </c>
      <c r="B31" s="10" t="s">
        <v>65</v>
      </c>
      <c r="C31" s="10">
        <v>1997</v>
      </c>
      <c r="D31" s="43" t="s">
        <v>252</v>
      </c>
      <c r="E31" s="10" t="s">
        <v>66</v>
      </c>
      <c r="F31" s="23">
        <v>30.2</v>
      </c>
      <c r="G31" s="23">
        <v>-92.3</v>
      </c>
      <c r="H31" s="10" t="s">
        <v>34</v>
      </c>
      <c r="I31" s="10" t="s">
        <v>37</v>
      </c>
      <c r="J31" s="10" t="s">
        <v>230</v>
      </c>
      <c r="K31" s="10" t="s">
        <v>19</v>
      </c>
      <c r="L31" s="26">
        <v>3</v>
      </c>
      <c r="M31" s="23">
        <f>AVERAGE(-62.8, -60.2, -57.9)</f>
        <v>-60.300000000000004</v>
      </c>
      <c r="N31" s="27">
        <f>STDEV(-62.8, -60.2, -57.9)</f>
        <v>2.4515301344262519</v>
      </c>
      <c r="O31" s="20">
        <f>AVERAGE(-324,-312,-313)</f>
        <v>-316.33333333333331</v>
      </c>
      <c r="P31" s="20">
        <f>STDEV(-324,-312,-313)</f>
        <v>6.6583281184793934</v>
      </c>
      <c r="X31" s="20">
        <v>-21.841329999999999</v>
      </c>
      <c r="Y31" s="20">
        <v>-22</v>
      </c>
      <c r="Z31" s="20">
        <v>-4.7100000000000009</v>
      </c>
      <c r="AA31" s="26">
        <f t="shared" si="1"/>
        <v>-314.2609333333333</v>
      </c>
    </row>
    <row r="32" spans="1:86">
      <c r="A32" s="26">
        <v>29</v>
      </c>
      <c r="B32" s="10" t="s">
        <v>67</v>
      </c>
      <c r="C32" s="10">
        <v>1997</v>
      </c>
      <c r="E32" s="10" t="s">
        <v>68</v>
      </c>
      <c r="F32" s="23">
        <v>31.2</v>
      </c>
      <c r="G32" s="23">
        <v>120.4</v>
      </c>
      <c r="H32" s="10" t="s">
        <v>34</v>
      </c>
      <c r="I32" s="10" t="s">
        <v>37</v>
      </c>
      <c r="J32" s="10" t="s">
        <v>234</v>
      </c>
      <c r="K32" s="10" t="s">
        <v>46</v>
      </c>
      <c r="L32" s="26">
        <v>3</v>
      </c>
      <c r="M32" s="34">
        <v>-61.666699999999999</v>
      </c>
      <c r="N32" s="35">
        <v>2.7538</v>
      </c>
      <c r="O32" s="30">
        <v>-331.5</v>
      </c>
      <c r="P32" s="30">
        <v>19</v>
      </c>
      <c r="Q32" s="34"/>
      <c r="R32" s="31"/>
      <c r="S32" s="34"/>
      <c r="T32" s="36"/>
      <c r="X32" s="20">
        <v>-48.974930000000001</v>
      </c>
      <c r="Y32" s="20">
        <v>-49</v>
      </c>
      <c r="Z32" s="20">
        <v>-33.330000000000005</v>
      </c>
      <c r="AA32" s="26">
        <f t="shared" si="1"/>
        <v>-316.83479999999997</v>
      </c>
    </row>
    <row r="33" spans="1:28">
      <c r="A33" s="26">
        <v>30</v>
      </c>
      <c r="B33" s="10" t="s">
        <v>69</v>
      </c>
      <c r="C33" s="10">
        <v>1986</v>
      </c>
      <c r="D33" s="43" t="s">
        <v>252</v>
      </c>
      <c r="E33" s="10" t="s">
        <v>70</v>
      </c>
      <c r="F33" s="23">
        <v>34</v>
      </c>
      <c r="G33" s="23">
        <v>-81.03</v>
      </c>
      <c r="H33" s="10" t="s">
        <v>16</v>
      </c>
      <c r="I33" s="10" t="s">
        <v>30</v>
      </c>
      <c r="J33" s="10" t="s">
        <v>230</v>
      </c>
      <c r="K33" s="10" t="s">
        <v>19</v>
      </c>
      <c r="L33" s="26">
        <v>3</v>
      </c>
      <c r="M33" s="23">
        <v>-53.46</v>
      </c>
      <c r="N33" s="27">
        <v>1.9</v>
      </c>
      <c r="O33" s="20">
        <v>-315</v>
      </c>
      <c r="P33" s="20">
        <v>4</v>
      </c>
      <c r="Q33" s="23">
        <v>-11.45</v>
      </c>
      <c r="R33" s="26">
        <v>2</v>
      </c>
      <c r="S33" s="23">
        <v>0.75</v>
      </c>
      <c r="T33" s="33">
        <f>(Q33+1000)/(M33+1000)</f>
        <v>1.0443826990935408</v>
      </c>
      <c r="U33" s="20">
        <v>-16</v>
      </c>
      <c r="V33" s="26">
        <v>1</v>
      </c>
      <c r="X33" s="20">
        <v>-28.249929999999999</v>
      </c>
      <c r="Y33" s="20">
        <v>-27</v>
      </c>
      <c r="Z33" s="20">
        <v>-16</v>
      </c>
      <c r="AA33" s="26">
        <f t="shared" si="1"/>
        <v>-307.95999999999998</v>
      </c>
      <c r="AB33" s="26">
        <f>O33-(U33*0.5)</f>
        <v>-307</v>
      </c>
    </row>
    <row r="34" spans="1:28">
      <c r="A34" s="26">
        <v>31</v>
      </c>
      <c r="B34" s="10" t="s">
        <v>71</v>
      </c>
      <c r="C34" s="10">
        <v>2015</v>
      </c>
      <c r="E34" s="10" t="s">
        <v>72</v>
      </c>
      <c r="F34" s="23">
        <v>34.130000000000003</v>
      </c>
      <c r="G34" s="23">
        <v>-118.12</v>
      </c>
      <c r="H34" s="10" t="s">
        <v>16</v>
      </c>
      <c r="I34" s="10" t="s">
        <v>73</v>
      </c>
      <c r="J34" s="10" t="s">
        <v>230</v>
      </c>
      <c r="K34" s="10" t="s">
        <v>19</v>
      </c>
      <c r="L34" s="26">
        <v>1</v>
      </c>
      <c r="M34" s="23">
        <v>-61.2</v>
      </c>
      <c r="O34" s="20">
        <v>-319.5</v>
      </c>
      <c r="X34" s="20">
        <v>-45.824210000000001</v>
      </c>
      <c r="Y34" s="20">
        <v>-46</v>
      </c>
      <c r="Z34" s="20">
        <v>-45.824210000000001</v>
      </c>
      <c r="AA34" s="26">
        <f t="shared" si="1"/>
        <v>-299.33734759999999</v>
      </c>
    </row>
    <row r="35" spans="1:28">
      <c r="A35" s="26">
        <v>32</v>
      </c>
      <c r="B35" s="10" t="s">
        <v>74</v>
      </c>
      <c r="C35" s="10">
        <v>1992</v>
      </c>
      <c r="E35" s="10" t="s">
        <v>75</v>
      </c>
      <c r="F35" s="23">
        <v>34.46</v>
      </c>
      <c r="G35" s="23">
        <v>-84.29</v>
      </c>
      <c r="H35" s="10" t="s">
        <v>16</v>
      </c>
      <c r="I35" s="10" t="s">
        <v>76</v>
      </c>
      <c r="J35" s="10" t="s">
        <v>230</v>
      </c>
      <c r="K35" s="10" t="s">
        <v>46</v>
      </c>
      <c r="L35" s="26">
        <v>2</v>
      </c>
      <c r="M35" s="23">
        <v>-52.5</v>
      </c>
      <c r="N35" s="27">
        <v>0.7</v>
      </c>
      <c r="O35" s="20">
        <v>-339.5</v>
      </c>
      <c r="P35" s="20">
        <v>0.7</v>
      </c>
      <c r="X35" s="20">
        <v>-38.516159999999999</v>
      </c>
      <c r="Y35" s="20">
        <v>-36</v>
      </c>
      <c r="Z35" s="20">
        <v>-38.516159999999999</v>
      </c>
      <c r="AA35" s="26">
        <f t="shared" si="1"/>
        <v>-322.55288960000001</v>
      </c>
    </row>
    <row r="36" spans="1:28">
      <c r="A36" s="26">
        <v>33</v>
      </c>
      <c r="B36" s="10" t="s">
        <v>59</v>
      </c>
      <c r="C36" s="10">
        <v>1994</v>
      </c>
      <c r="D36" s="43" t="s">
        <v>252</v>
      </c>
      <c r="E36" s="10" t="s">
        <v>77</v>
      </c>
      <c r="F36" s="23">
        <v>39</v>
      </c>
      <c r="G36" s="23">
        <v>-80</v>
      </c>
      <c r="H36" s="10" t="s">
        <v>34</v>
      </c>
      <c r="I36" s="10" t="s">
        <v>78</v>
      </c>
      <c r="J36" s="10" t="s">
        <v>61</v>
      </c>
      <c r="K36" s="10" t="s">
        <v>19</v>
      </c>
      <c r="L36" s="26">
        <v>1</v>
      </c>
      <c r="M36" s="23">
        <v>-56.7</v>
      </c>
      <c r="N36" s="27">
        <v>3.3</v>
      </c>
      <c r="O36" s="20">
        <v>-310</v>
      </c>
      <c r="P36" s="20">
        <v>16</v>
      </c>
      <c r="X36" s="20">
        <v>-49.395319999999998</v>
      </c>
      <c r="Y36" s="20">
        <v>-54</v>
      </c>
      <c r="Z36" s="20">
        <v>-38.630000000000003</v>
      </c>
      <c r="AA36" s="26">
        <f t="shared" ref="AA36:AA67" si="2">O36-(Z36*0.44)</f>
        <v>-293.00279999999998</v>
      </c>
    </row>
    <row r="37" spans="1:28">
      <c r="A37" s="26">
        <v>34</v>
      </c>
      <c r="B37" s="10" t="s">
        <v>79</v>
      </c>
      <c r="C37" s="10">
        <v>2015</v>
      </c>
      <c r="E37" s="10" t="s">
        <v>80</v>
      </c>
      <c r="F37" s="23">
        <v>41.5</v>
      </c>
      <c r="G37" s="23">
        <v>-70.599999999999994</v>
      </c>
      <c r="H37" s="10" t="s">
        <v>34</v>
      </c>
      <c r="I37" s="10" t="s">
        <v>35</v>
      </c>
      <c r="J37" s="10" t="s">
        <v>81</v>
      </c>
      <c r="K37" s="10" t="s">
        <v>19</v>
      </c>
      <c r="L37" s="26">
        <v>3</v>
      </c>
      <c r="M37" s="23">
        <f>AVERAGE(-59.72,-59.25,-59.7)</f>
        <v>-59.556666666666672</v>
      </c>
      <c r="N37" s="27">
        <f>STDEV(-59.74,-59.25,-59.7)</f>
        <v>0.27209067116190161</v>
      </c>
      <c r="O37" s="20">
        <f>AVERAGE(-322.17,-324.27,-330.14)</f>
        <v>-325.5266666666667</v>
      </c>
      <c r="P37" s="20">
        <f>STDEV(-322.17,-324.27,-330.14)</f>
        <v>4.1309361328073377</v>
      </c>
      <c r="U37" s="20">
        <v>-21</v>
      </c>
      <c r="V37" s="26">
        <v>3</v>
      </c>
      <c r="W37" s="20">
        <v>10</v>
      </c>
      <c r="X37" s="20">
        <v>-42.079450000000001</v>
      </c>
      <c r="Y37" s="20">
        <v>-72</v>
      </c>
      <c r="Z37" s="20">
        <v>-21</v>
      </c>
      <c r="AA37" s="26">
        <f t="shared" si="2"/>
        <v>-316.28666666666669</v>
      </c>
      <c r="AB37" s="26">
        <f t="shared" ref="AB37:AB42" si="3">O37-(U37*0.5)</f>
        <v>-315.0266666666667</v>
      </c>
    </row>
    <row r="38" spans="1:28">
      <c r="A38" s="26">
        <v>35</v>
      </c>
      <c r="B38" s="10" t="s">
        <v>82</v>
      </c>
      <c r="C38" s="10">
        <v>1996</v>
      </c>
      <c r="D38" s="43" t="s">
        <v>252</v>
      </c>
      <c r="E38" s="10" t="s">
        <v>83</v>
      </c>
      <c r="F38" s="23">
        <v>42</v>
      </c>
      <c r="G38" s="24">
        <v>-82.52</v>
      </c>
      <c r="H38" s="11" t="s">
        <v>34</v>
      </c>
      <c r="I38" s="10" t="s">
        <v>44</v>
      </c>
      <c r="J38" s="10" t="s">
        <v>84</v>
      </c>
      <c r="K38" s="10" t="s">
        <v>19</v>
      </c>
      <c r="L38" s="26">
        <v>9</v>
      </c>
      <c r="M38" s="34">
        <v>-59</v>
      </c>
      <c r="N38" s="35">
        <v>4.78</v>
      </c>
      <c r="O38" s="30">
        <v>-285</v>
      </c>
      <c r="P38" s="30">
        <v>44</v>
      </c>
      <c r="Q38" s="34">
        <v>-14.4</v>
      </c>
      <c r="R38" s="31">
        <v>9</v>
      </c>
      <c r="S38" s="34">
        <v>2.17</v>
      </c>
      <c r="T38" s="33">
        <f>(Q38+1000)/(M38+1000)</f>
        <v>1.0473963868225293</v>
      </c>
      <c r="U38" s="20">
        <v>-42</v>
      </c>
      <c r="V38" s="26">
        <v>7</v>
      </c>
      <c r="W38" s="20">
        <v>3</v>
      </c>
      <c r="X38" s="22">
        <v>-49.156910000000003</v>
      </c>
      <c r="Y38" s="20">
        <v>-57</v>
      </c>
      <c r="Z38" s="20">
        <v>-42</v>
      </c>
      <c r="AA38" s="26">
        <f t="shared" si="2"/>
        <v>-266.52</v>
      </c>
      <c r="AB38" s="26">
        <f t="shared" si="3"/>
        <v>-264</v>
      </c>
    </row>
    <row r="39" spans="1:28">
      <c r="A39" s="26">
        <v>36</v>
      </c>
      <c r="B39" s="10" t="s">
        <v>85</v>
      </c>
      <c r="C39" s="10">
        <v>1986</v>
      </c>
      <c r="D39" s="43" t="s">
        <v>252</v>
      </c>
      <c r="E39" s="10" t="s">
        <v>86</v>
      </c>
      <c r="F39" s="23">
        <v>42.4</v>
      </c>
      <c r="G39" s="23">
        <v>-88.2</v>
      </c>
      <c r="H39" s="10" t="s">
        <v>34</v>
      </c>
      <c r="I39" s="10" t="s">
        <v>78</v>
      </c>
      <c r="J39" s="10" t="s">
        <v>31</v>
      </c>
      <c r="K39" s="10" t="s">
        <v>19</v>
      </c>
      <c r="L39" s="26">
        <v>6</v>
      </c>
      <c r="M39" s="23">
        <v>-63.716666666666669</v>
      </c>
      <c r="N39" s="27">
        <v>4.7334624395538061</v>
      </c>
      <c r="O39" s="20">
        <v>-268.66666666666669</v>
      </c>
      <c r="P39" s="20">
        <v>37.94557506042915</v>
      </c>
      <c r="U39" s="20">
        <v>-49.4</v>
      </c>
      <c r="V39" s="26">
        <v>3</v>
      </c>
      <c r="W39" s="20">
        <v>5.0999999999999996</v>
      </c>
      <c r="X39" s="20">
        <v>-40.687359999999998</v>
      </c>
      <c r="Y39" s="20">
        <v>-48</v>
      </c>
      <c r="Z39" s="20">
        <v>-49.4</v>
      </c>
      <c r="AA39" s="26">
        <f t="shared" si="2"/>
        <v>-246.9306666666667</v>
      </c>
      <c r="AB39" s="26">
        <f t="shared" si="3"/>
        <v>-243.9666666666667</v>
      </c>
    </row>
    <row r="40" spans="1:28">
      <c r="A40" s="26">
        <v>37</v>
      </c>
      <c r="B40" s="10" t="s">
        <v>79</v>
      </c>
      <c r="C40" s="10">
        <v>2016</v>
      </c>
      <c r="E40" s="10" t="s">
        <v>87</v>
      </c>
      <c r="F40" s="23">
        <v>42.43</v>
      </c>
      <c r="G40" s="23">
        <v>-71.150000000000006</v>
      </c>
      <c r="H40" s="10" t="s">
        <v>16</v>
      </c>
      <c r="I40" s="10" t="s">
        <v>30</v>
      </c>
      <c r="J40" s="10" t="s">
        <v>81</v>
      </c>
      <c r="K40" s="10" t="s">
        <v>19</v>
      </c>
      <c r="L40" s="26">
        <v>1</v>
      </c>
      <c r="M40" s="23">
        <v>-65.47</v>
      </c>
      <c r="O40" s="20">
        <v>-289.81</v>
      </c>
      <c r="U40" s="20">
        <v>-41</v>
      </c>
      <c r="W40" s="20">
        <v>10</v>
      </c>
      <c r="X40" s="20">
        <v>-44.881570000000004</v>
      </c>
      <c r="Y40" s="20">
        <v>-46</v>
      </c>
      <c r="Z40" s="20">
        <v>-41</v>
      </c>
      <c r="AA40" s="26">
        <f t="shared" si="2"/>
        <v>-271.77</v>
      </c>
      <c r="AB40" s="26">
        <f t="shared" si="3"/>
        <v>-269.31</v>
      </c>
    </row>
    <row r="41" spans="1:28">
      <c r="A41" s="26">
        <v>38</v>
      </c>
      <c r="B41" s="10" t="s">
        <v>79</v>
      </c>
      <c r="C41" s="10">
        <v>2017</v>
      </c>
      <c r="E41" s="10" t="s">
        <v>235</v>
      </c>
      <c r="F41" s="23">
        <v>42.43</v>
      </c>
      <c r="G41" s="23">
        <v>-71.150000000000006</v>
      </c>
      <c r="H41" s="10" t="s">
        <v>16</v>
      </c>
      <c r="I41" s="10" t="s">
        <v>30</v>
      </c>
      <c r="J41" s="10" t="s">
        <v>22</v>
      </c>
      <c r="K41" s="10" t="s">
        <v>19</v>
      </c>
      <c r="L41" s="26">
        <v>2</v>
      </c>
      <c r="M41" s="23">
        <f>AVERAGE(-70.96,-70.99)</f>
        <v>-70.974999999999994</v>
      </c>
      <c r="N41" s="27">
        <v>0.02</v>
      </c>
      <c r="O41" s="20">
        <f>AVERAGE(-264.97,-268.93)</f>
        <v>-266.95000000000005</v>
      </c>
      <c r="P41" s="20">
        <v>3</v>
      </c>
      <c r="U41" s="20">
        <v>-39</v>
      </c>
      <c r="W41" s="20">
        <v>10</v>
      </c>
      <c r="X41" s="20">
        <v>-44.881570000000004</v>
      </c>
      <c r="Y41" s="20">
        <v>-46</v>
      </c>
      <c r="Z41" s="20">
        <v>-39</v>
      </c>
      <c r="AA41" s="26">
        <f t="shared" si="2"/>
        <v>-249.79000000000005</v>
      </c>
      <c r="AB41" s="26">
        <f t="shared" si="3"/>
        <v>-247.45000000000005</v>
      </c>
    </row>
    <row r="42" spans="1:28">
      <c r="A42" s="26">
        <v>39</v>
      </c>
      <c r="B42" s="10" t="s">
        <v>82</v>
      </c>
      <c r="C42" s="10">
        <v>1996</v>
      </c>
      <c r="D42" s="43" t="s">
        <v>252</v>
      </c>
      <c r="E42" s="10" t="s">
        <v>88</v>
      </c>
      <c r="F42" s="23">
        <v>42.97</v>
      </c>
      <c r="G42" s="24">
        <v>-81.319999999999993</v>
      </c>
      <c r="H42" s="11" t="s">
        <v>34</v>
      </c>
      <c r="I42" s="10" t="s">
        <v>78</v>
      </c>
      <c r="J42" s="10" t="s">
        <v>84</v>
      </c>
      <c r="K42" s="10" t="s">
        <v>19</v>
      </c>
      <c r="L42" s="31">
        <v>8</v>
      </c>
      <c r="M42" s="34">
        <v>-56.65</v>
      </c>
      <c r="N42" s="35">
        <v>1.25</v>
      </c>
      <c r="O42" s="30">
        <v>-319.5</v>
      </c>
      <c r="P42" s="30">
        <v>14</v>
      </c>
      <c r="Q42" s="34">
        <v>-9.0299999999999994</v>
      </c>
      <c r="R42" s="31">
        <v>3</v>
      </c>
      <c r="S42" s="34">
        <v>1.1000000000000001</v>
      </c>
      <c r="T42" s="33">
        <f>(Q42+1000)/(M42+1000)</f>
        <v>1.0504796735040016</v>
      </c>
      <c r="U42" s="30">
        <v>-68.12</v>
      </c>
      <c r="V42" s="31">
        <v>8</v>
      </c>
      <c r="W42" s="30">
        <v>4</v>
      </c>
      <c r="X42" s="22">
        <v>-54.465380000000003</v>
      </c>
      <c r="Y42" s="30">
        <v>-67</v>
      </c>
      <c r="Z42" s="30">
        <v>-68.12</v>
      </c>
      <c r="AA42" s="26">
        <f t="shared" si="2"/>
        <v>-289.52719999999999</v>
      </c>
      <c r="AB42" s="26">
        <f t="shared" si="3"/>
        <v>-285.44</v>
      </c>
    </row>
    <row r="43" spans="1:28">
      <c r="A43" s="26">
        <v>40</v>
      </c>
      <c r="B43" s="10" t="s">
        <v>59</v>
      </c>
      <c r="D43" s="43" t="s">
        <v>252</v>
      </c>
      <c r="E43" s="10" t="s">
        <v>89</v>
      </c>
      <c r="F43" s="23">
        <v>43</v>
      </c>
      <c r="G43" s="23">
        <v>-77</v>
      </c>
      <c r="H43" s="10" t="s">
        <v>34</v>
      </c>
      <c r="I43" s="10" t="s">
        <v>61</v>
      </c>
      <c r="J43" s="10" t="s">
        <v>236</v>
      </c>
      <c r="K43" s="10" t="s">
        <v>19</v>
      </c>
      <c r="L43" s="26">
        <v>1</v>
      </c>
      <c r="M43" s="23">
        <v>-58.3</v>
      </c>
      <c r="N43" s="27">
        <v>2.4</v>
      </c>
      <c r="O43" s="20">
        <v>-332</v>
      </c>
      <c r="P43" s="20">
        <v>24</v>
      </c>
      <c r="X43" s="20">
        <v>-55.423780000000001</v>
      </c>
      <c r="Y43" s="20">
        <v>-62</v>
      </c>
      <c r="Z43" s="20">
        <v>-47.11</v>
      </c>
      <c r="AA43" s="26">
        <f t="shared" si="2"/>
        <v>-311.27159999999998</v>
      </c>
    </row>
    <row r="44" spans="1:28">
      <c r="A44" s="26">
        <v>41</v>
      </c>
      <c r="B44" s="10" t="s">
        <v>90</v>
      </c>
      <c r="C44" s="10">
        <v>2002</v>
      </c>
      <c r="E44" s="10" t="s">
        <v>91</v>
      </c>
      <c r="F44" s="23">
        <v>45</v>
      </c>
      <c r="G44" s="23">
        <v>8.4</v>
      </c>
      <c r="H44" s="10" t="s">
        <v>34</v>
      </c>
      <c r="I44" s="10" t="s">
        <v>37</v>
      </c>
      <c r="J44" s="10" t="s">
        <v>64</v>
      </c>
      <c r="K44" s="10" t="s">
        <v>46</v>
      </c>
      <c r="L44" s="26">
        <v>66</v>
      </c>
      <c r="M44" s="23">
        <v>-60.074242424242406</v>
      </c>
      <c r="N44" s="27">
        <v>4.85729619647869</v>
      </c>
      <c r="O44" s="20">
        <v>-344.92727272727285</v>
      </c>
      <c r="P44" s="20">
        <v>10.595057562620637</v>
      </c>
      <c r="X44" s="20">
        <v>-48.165799999999997</v>
      </c>
      <c r="Y44" s="20">
        <v>-48</v>
      </c>
      <c r="Z44" s="20">
        <v>-32.270000000000003</v>
      </c>
      <c r="AA44" s="26">
        <f t="shared" si="2"/>
        <v>-330.72847272727284</v>
      </c>
    </row>
    <row r="45" spans="1:28">
      <c r="A45" s="26">
        <v>42</v>
      </c>
      <c r="B45" s="10" t="s">
        <v>92</v>
      </c>
      <c r="C45" s="10">
        <v>1993</v>
      </c>
      <c r="D45" s="43" t="s">
        <v>252</v>
      </c>
      <c r="E45" s="10" t="s">
        <v>91</v>
      </c>
      <c r="F45" s="23">
        <v>45.2</v>
      </c>
      <c r="G45" s="23">
        <v>8.4</v>
      </c>
      <c r="H45" s="10" t="s">
        <v>34</v>
      </c>
      <c r="I45" s="10" t="s">
        <v>37</v>
      </c>
      <c r="J45" s="10" t="s">
        <v>93</v>
      </c>
      <c r="K45" s="10" t="s">
        <v>19</v>
      </c>
      <c r="L45" s="26">
        <v>7</v>
      </c>
      <c r="M45" s="23">
        <v>-65.400000000000006</v>
      </c>
      <c r="N45" s="27">
        <v>1.6</v>
      </c>
      <c r="O45" s="20">
        <v>-332</v>
      </c>
      <c r="P45" s="20">
        <v>9</v>
      </c>
      <c r="X45" s="20">
        <v>-48.46264</v>
      </c>
      <c r="Y45" s="20">
        <v>-48</v>
      </c>
      <c r="Z45" s="20">
        <v>-32.270000000000003</v>
      </c>
      <c r="AA45" s="26">
        <f t="shared" si="2"/>
        <v>-317.80119999999999</v>
      </c>
    </row>
    <row r="46" spans="1:28">
      <c r="A46" s="26">
        <v>43</v>
      </c>
      <c r="B46" s="10" t="s">
        <v>94</v>
      </c>
      <c r="C46" s="10">
        <v>2011</v>
      </c>
      <c r="E46" s="10" t="s">
        <v>95</v>
      </c>
      <c r="F46" s="23">
        <v>45.4</v>
      </c>
      <c r="G46" s="23">
        <v>-75.5</v>
      </c>
      <c r="H46" s="10" t="s">
        <v>34</v>
      </c>
      <c r="I46" s="10" t="s">
        <v>78</v>
      </c>
      <c r="J46" s="10" t="s">
        <v>96</v>
      </c>
      <c r="K46" s="10" t="s">
        <v>46</v>
      </c>
      <c r="L46" s="26">
        <v>7</v>
      </c>
      <c r="M46" s="23">
        <v>-73</v>
      </c>
      <c r="N46" s="27">
        <v>3.33</v>
      </c>
      <c r="O46" s="20">
        <v>-330.4</v>
      </c>
      <c r="P46" s="20">
        <v>19.600000000000001</v>
      </c>
      <c r="U46" s="20">
        <v>-81.900000000000006</v>
      </c>
      <c r="V46" s="26">
        <v>4</v>
      </c>
      <c r="W46" s="20">
        <v>3.58</v>
      </c>
      <c r="X46" s="20">
        <v>-61.882800000000003</v>
      </c>
      <c r="Y46" s="20">
        <v>-72</v>
      </c>
      <c r="Z46" s="20">
        <v>-81.900000000000006</v>
      </c>
      <c r="AA46" s="26">
        <f t="shared" si="2"/>
        <v>-294.36399999999998</v>
      </c>
      <c r="AB46" s="26">
        <f>O46-(U46*0.5)</f>
        <v>-289.45</v>
      </c>
    </row>
    <row r="47" spans="1:28">
      <c r="A47" s="26">
        <v>44</v>
      </c>
      <c r="B47" s="10" t="s">
        <v>253</v>
      </c>
      <c r="C47" s="10">
        <v>1992</v>
      </c>
      <c r="D47" s="43" t="s">
        <v>252</v>
      </c>
      <c r="E47" s="10" t="s">
        <v>97</v>
      </c>
      <c r="F47" s="23">
        <v>47</v>
      </c>
      <c r="G47" s="23">
        <v>-94</v>
      </c>
      <c r="H47" s="10" t="s">
        <v>34</v>
      </c>
      <c r="I47" s="10" t="s">
        <v>78</v>
      </c>
      <c r="J47" s="10" t="s">
        <v>237</v>
      </c>
      <c r="K47" s="10" t="s">
        <v>19</v>
      </c>
      <c r="L47" s="26">
        <v>2</v>
      </c>
      <c r="M47" s="23">
        <v>-55</v>
      </c>
      <c r="N47" s="27">
        <v>7.1</v>
      </c>
      <c r="O47" s="20">
        <v>-335.5</v>
      </c>
      <c r="P47" s="20">
        <v>5</v>
      </c>
      <c r="Q47" s="23">
        <v>-8.5500000000000007</v>
      </c>
      <c r="R47" s="26">
        <v>2</v>
      </c>
      <c r="S47" s="23">
        <v>3.6</v>
      </c>
      <c r="T47" s="33">
        <f>(Q47+1000)/(M47+1000)</f>
        <v>1.0491534391534392</v>
      </c>
      <c r="U47" s="20">
        <v>-66.5</v>
      </c>
      <c r="V47" s="26">
        <v>2</v>
      </c>
      <c r="W47" s="20">
        <v>15</v>
      </c>
      <c r="X47" s="20">
        <v>-65.306520000000006</v>
      </c>
      <c r="Y47" s="20">
        <v>-83</v>
      </c>
      <c r="Z47" s="20">
        <v>-66.5</v>
      </c>
      <c r="AA47" s="26">
        <f t="shared" si="2"/>
        <v>-306.24</v>
      </c>
      <c r="AB47" s="26">
        <f>O47-(U47*0.5)</f>
        <v>-302.25</v>
      </c>
    </row>
    <row r="48" spans="1:28">
      <c r="A48" s="26">
        <v>45</v>
      </c>
      <c r="B48" s="10" t="s">
        <v>253</v>
      </c>
      <c r="C48" s="10">
        <v>1992</v>
      </c>
      <c r="D48" s="43" t="s">
        <v>252</v>
      </c>
      <c r="E48" s="10" t="s">
        <v>98</v>
      </c>
      <c r="F48" s="23">
        <v>47</v>
      </c>
      <c r="G48" s="23">
        <v>-94</v>
      </c>
      <c r="H48" s="10" t="s">
        <v>34</v>
      </c>
      <c r="I48" s="10" t="s">
        <v>78</v>
      </c>
      <c r="J48" s="10" t="s">
        <v>237</v>
      </c>
      <c r="K48" s="10" t="s">
        <v>19</v>
      </c>
      <c r="L48" s="26">
        <v>3</v>
      </c>
      <c r="M48" s="23">
        <v>-71.05</v>
      </c>
      <c r="N48" s="27">
        <v>11</v>
      </c>
      <c r="O48" s="20">
        <v>-359</v>
      </c>
      <c r="P48" s="20">
        <v>13</v>
      </c>
      <c r="Q48" s="23">
        <v>-9.4499999999999993</v>
      </c>
      <c r="R48" s="26">
        <v>4</v>
      </c>
      <c r="S48" s="23">
        <v>1.6</v>
      </c>
      <c r="T48" s="33">
        <f>(Q48+1000)/(M48+1000)</f>
        <v>1.0663114268798104</v>
      </c>
      <c r="U48" s="20">
        <v>-72</v>
      </c>
      <c r="V48" s="26">
        <v>1</v>
      </c>
      <c r="X48" s="20">
        <v>-65.306520000000006</v>
      </c>
      <c r="Y48" s="20">
        <v>-83</v>
      </c>
      <c r="Z48" s="20">
        <v>-72</v>
      </c>
      <c r="AA48" s="26">
        <f t="shared" si="2"/>
        <v>-327.32</v>
      </c>
      <c r="AB48" s="26">
        <f>O48-(U48*0.5)</f>
        <v>-323</v>
      </c>
    </row>
    <row r="49" spans="1:28">
      <c r="A49" s="26">
        <v>46</v>
      </c>
      <c r="B49" s="10" t="s">
        <v>253</v>
      </c>
      <c r="C49" s="10">
        <v>1992</v>
      </c>
      <c r="D49" s="43" t="s">
        <v>252</v>
      </c>
      <c r="E49" s="10" t="s">
        <v>99</v>
      </c>
      <c r="F49" s="23">
        <v>47</v>
      </c>
      <c r="G49" s="23">
        <v>-94</v>
      </c>
      <c r="H49" s="10" t="s">
        <v>34</v>
      </c>
      <c r="I49" s="10" t="s">
        <v>78</v>
      </c>
      <c r="J49" s="10" t="s">
        <v>237</v>
      </c>
      <c r="K49" s="10" t="s">
        <v>19</v>
      </c>
      <c r="L49" s="26">
        <v>1</v>
      </c>
      <c r="M49" s="23">
        <v>-71.5</v>
      </c>
      <c r="O49" s="20">
        <v>-278</v>
      </c>
      <c r="Q49" s="23">
        <v>-4.9000000000000004</v>
      </c>
      <c r="R49" s="26">
        <v>1</v>
      </c>
      <c r="T49" s="33">
        <f>(Q49+1000)/(M49+1000)</f>
        <v>1.0717285945072699</v>
      </c>
      <c r="U49" s="20">
        <v>-72</v>
      </c>
      <c r="V49" s="26">
        <v>1</v>
      </c>
      <c r="X49" s="20">
        <v>-65.306520000000006</v>
      </c>
      <c r="Y49" s="20">
        <v>-83</v>
      </c>
      <c r="Z49" s="20">
        <v>-72</v>
      </c>
      <c r="AA49" s="26">
        <f t="shared" si="2"/>
        <v>-246.32</v>
      </c>
      <c r="AB49" s="26">
        <f>O49-(U49*0.5)</f>
        <v>-242</v>
      </c>
    </row>
    <row r="50" spans="1:28">
      <c r="A50" s="26">
        <v>47</v>
      </c>
      <c r="B50" s="10" t="s">
        <v>253</v>
      </c>
      <c r="C50" s="10">
        <v>1992</v>
      </c>
      <c r="D50" s="43" t="s">
        <v>252</v>
      </c>
      <c r="E50" s="10" t="s">
        <v>100</v>
      </c>
      <c r="F50" s="23">
        <v>47</v>
      </c>
      <c r="G50" s="23">
        <v>-94</v>
      </c>
      <c r="H50" s="10" t="s">
        <v>34</v>
      </c>
      <c r="I50" s="10" t="s">
        <v>78</v>
      </c>
      <c r="J50" s="10" t="s">
        <v>237</v>
      </c>
      <c r="K50" s="10" t="s">
        <v>19</v>
      </c>
      <c r="L50" s="26">
        <v>1</v>
      </c>
      <c r="M50" s="23">
        <v>-58.4</v>
      </c>
      <c r="O50" s="20">
        <v>-343</v>
      </c>
      <c r="P50" s="20">
        <f>STDEV(-359,-278,-343,-335)</f>
        <v>35.273928048914541</v>
      </c>
      <c r="U50" s="20">
        <v>-65</v>
      </c>
      <c r="V50" s="26">
        <v>1</v>
      </c>
      <c r="X50" s="20">
        <v>-65.306520000000006</v>
      </c>
      <c r="Y50" s="20">
        <v>-83</v>
      </c>
      <c r="Z50" s="20">
        <v>-65</v>
      </c>
      <c r="AA50" s="26">
        <f t="shared" si="2"/>
        <v>-314.39999999999998</v>
      </c>
      <c r="AB50" s="26">
        <f>O50-(U50*0.5)</f>
        <v>-310.5</v>
      </c>
    </row>
    <row r="51" spans="1:28">
      <c r="A51" s="26">
        <v>48</v>
      </c>
      <c r="B51" s="10" t="s">
        <v>101</v>
      </c>
      <c r="C51" s="10">
        <v>1992</v>
      </c>
      <c r="D51" s="43" t="s">
        <v>252</v>
      </c>
      <c r="E51" s="10" t="s">
        <v>102</v>
      </c>
      <c r="F51" s="23">
        <v>47.6</v>
      </c>
      <c r="G51" s="24">
        <v>-121.78</v>
      </c>
      <c r="H51" s="11" t="s">
        <v>34</v>
      </c>
      <c r="I51" s="10" t="s">
        <v>78</v>
      </c>
      <c r="J51" s="10" t="s">
        <v>237</v>
      </c>
      <c r="K51" s="10" t="s">
        <v>19</v>
      </c>
      <c r="L51" s="26">
        <v>10</v>
      </c>
      <c r="M51" s="34">
        <v>-70.760000000000005</v>
      </c>
      <c r="N51" s="35">
        <v>4.0359999999999996</v>
      </c>
      <c r="O51" s="30">
        <v>-307.60000000000002</v>
      </c>
      <c r="P51" s="30">
        <v>36.688499999999998</v>
      </c>
      <c r="Q51" s="34">
        <v>-0.75</v>
      </c>
      <c r="R51" s="31">
        <v>10</v>
      </c>
      <c r="S51" s="34">
        <v>2.7</v>
      </c>
      <c r="T51" s="33">
        <f>(Q51+1000)/(M51+1000)</f>
        <v>1.075341138995308</v>
      </c>
      <c r="X51" s="22">
        <v>-80.884190000000004</v>
      </c>
      <c r="Y51" s="20">
        <v>-75</v>
      </c>
      <c r="Z51" s="20">
        <v>-60.89</v>
      </c>
      <c r="AA51" s="26">
        <f t="shared" si="2"/>
        <v>-280.80840000000001</v>
      </c>
    </row>
    <row r="52" spans="1:28">
      <c r="A52" s="26">
        <v>49</v>
      </c>
      <c r="B52" s="10" t="s">
        <v>103</v>
      </c>
      <c r="C52" s="10">
        <v>1984</v>
      </c>
      <c r="D52" s="43" t="s">
        <v>252</v>
      </c>
      <c r="E52" s="10" t="s">
        <v>104</v>
      </c>
      <c r="F52" s="23">
        <v>47.91</v>
      </c>
      <c r="G52" s="23">
        <v>11.31</v>
      </c>
      <c r="H52" s="10" t="s">
        <v>16</v>
      </c>
      <c r="I52" s="10" t="s">
        <v>30</v>
      </c>
      <c r="J52" s="10" t="s">
        <v>238</v>
      </c>
      <c r="K52" s="10" t="s">
        <v>19</v>
      </c>
      <c r="L52" s="26">
        <v>53</v>
      </c>
      <c r="M52" s="34">
        <v>-57.743400000000001</v>
      </c>
      <c r="N52" s="35">
        <v>2.2822</v>
      </c>
      <c r="O52" s="30">
        <v>-322.18869999999998</v>
      </c>
      <c r="P52" s="30">
        <v>10.357200000000001</v>
      </c>
      <c r="Q52" s="34">
        <v>-11.18</v>
      </c>
      <c r="R52" s="31">
        <v>51</v>
      </c>
      <c r="S52" s="34">
        <v>4</v>
      </c>
      <c r="T52" s="33">
        <f>(Q52+1000)/(M52+1000)</f>
        <v>1.0494168998126412</v>
      </c>
      <c r="U52" s="20">
        <v>-24</v>
      </c>
      <c r="V52" s="26">
        <v>8</v>
      </c>
      <c r="W52" s="20">
        <v>5.3</v>
      </c>
      <c r="X52" s="20">
        <v>-65.877979999999994</v>
      </c>
      <c r="Y52" s="20">
        <v>-69</v>
      </c>
      <c r="Z52" s="20">
        <v>-24</v>
      </c>
      <c r="AA52" s="26">
        <f t="shared" si="2"/>
        <v>-311.62869999999998</v>
      </c>
      <c r="AB52" s="26">
        <f>O52-(U52*0.5)</f>
        <v>-310.18869999999998</v>
      </c>
    </row>
    <row r="53" spans="1:28">
      <c r="A53" s="26">
        <v>50</v>
      </c>
      <c r="B53" s="10" t="s">
        <v>105</v>
      </c>
      <c r="C53" s="10">
        <v>2000</v>
      </c>
      <c r="E53" s="10" t="s">
        <v>106</v>
      </c>
      <c r="F53" s="23">
        <v>48.2</v>
      </c>
      <c r="G53" s="23">
        <v>-95</v>
      </c>
      <c r="H53" s="10" t="s">
        <v>34</v>
      </c>
      <c r="I53" s="10" t="s">
        <v>107</v>
      </c>
      <c r="J53" s="10" t="s">
        <v>96</v>
      </c>
      <c r="K53" s="10" t="s">
        <v>19</v>
      </c>
      <c r="L53" s="26">
        <v>1</v>
      </c>
      <c r="M53" s="23">
        <v>-60.1</v>
      </c>
      <c r="O53" s="20">
        <v>-294</v>
      </c>
      <c r="Q53" s="23">
        <v>-3</v>
      </c>
      <c r="R53" s="26">
        <v>7</v>
      </c>
      <c r="S53" s="23">
        <v>4.2</v>
      </c>
      <c r="T53" s="33">
        <f>(Q53+1000)/(M53+1000)</f>
        <v>1.0607511437386956</v>
      </c>
      <c r="X53" s="20">
        <v>-72.487830000000002</v>
      </c>
      <c r="Y53" s="20">
        <v>-86</v>
      </c>
      <c r="Z53" s="20">
        <v>-72.550000000000011</v>
      </c>
      <c r="AA53" s="26">
        <f t="shared" si="2"/>
        <v>-262.07799999999997</v>
      </c>
    </row>
    <row r="54" spans="1:28">
      <c r="A54" s="26">
        <v>51</v>
      </c>
      <c r="B54" s="10" t="s">
        <v>105</v>
      </c>
      <c r="C54" s="10">
        <v>2000</v>
      </c>
      <c r="E54" s="10" t="s">
        <v>108</v>
      </c>
      <c r="F54" s="23">
        <v>48.2</v>
      </c>
      <c r="G54" s="23">
        <v>-95</v>
      </c>
      <c r="H54" s="10" t="s">
        <v>34</v>
      </c>
      <c r="I54" s="10" t="s">
        <v>78</v>
      </c>
      <c r="J54" s="10" t="s">
        <v>96</v>
      </c>
      <c r="K54" s="10" t="s">
        <v>19</v>
      </c>
      <c r="L54" s="26">
        <v>1</v>
      </c>
      <c r="M54" s="23">
        <v>-67.7</v>
      </c>
      <c r="O54" s="20">
        <v>-263</v>
      </c>
      <c r="Q54" s="23">
        <v>6.6</v>
      </c>
      <c r="R54" s="26">
        <v>1</v>
      </c>
      <c r="T54" s="33">
        <f>(Q54+1000)/(M54+1000)</f>
        <v>1.079695377024563</v>
      </c>
      <c r="X54" s="20">
        <v>-72.487830000000002</v>
      </c>
      <c r="Y54" s="20">
        <v>-86</v>
      </c>
      <c r="Z54" s="20">
        <v>-72.550000000000011</v>
      </c>
      <c r="AA54" s="26">
        <f t="shared" si="2"/>
        <v>-231.078</v>
      </c>
    </row>
    <row r="55" spans="1:28">
      <c r="A55" s="26">
        <v>52</v>
      </c>
      <c r="B55" s="10" t="s">
        <v>92</v>
      </c>
      <c r="C55" s="10">
        <v>1993</v>
      </c>
      <c r="E55" s="10" t="s">
        <v>109</v>
      </c>
      <c r="F55" s="23">
        <v>49.4</v>
      </c>
      <c r="G55" s="23">
        <v>8.6</v>
      </c>
      <c r="H55" s="10" t="s">
        <v>34</v>
      </c>
      <c r="I55" s="10" t="s">
        <v>35</v>
      </c>
      <c r="J55" s="10" t="s">
        <v>93</v>
      </c>
      <c r="K55" s="10" t="s">
        <v>19</v>
      </c>
      <c r="L55" s="26">
        <v>7</v>
      </c>
      <c r="M55" s="23">
        <v>-57.4</v>
      </c>
      <c r="N55" s="27">
        <v>2.1</v>
      </c>
      <c r="O55" s="20">
        <v>-310</v>
      </c>
      <c r="P55" s="20">
        <v>9</v>
      </c>
      <c r="X55" s="20">
        <v>-56.569969999999998</v>
      </c>
      <c r="Y55" s="20">
        <v>-57</v>
      </c>
      <c r="Z55" s="20">
        <v>-41.81</v>
      </c>
      <c r="AA55" s="26">
        <f t="shared" si="2"/>
        <v>-291.60360000000003</v>
      </c>
    </row>
    <row r="56" spans="1:28">
      <c r="A56" s="26">
        <v>53</v>
      </c>
      <c r="B56" s="10" t="s">
        <v>92</v>
      </c>
      <c r="C56" s="10">
        <v>1993</v>
      </c>
      <c r="E56" s="10" t="s">
        <v>109</v>
      </c>
      <c r="F56" s="23">
        <v>49.4</v>
      </c>
      <c r="G56" s="23">
        <v>8.6</v>
      </c>
      <c r="H56" s="10" t="s">
        <v>34</v>
      </c>
      <c r="I56" s="10" t="s">
        <v>35</v>
      </c>
      <c r="J56" s="10" t="s">
        <v>93</v>
      </c>
      <c r="K56" s="10" t="s">
        <v>19</v>
      </c>
      <c r="L56" s="26">
        <v>14</v>
      </c>
      <c r="M56" s="23">
        <v>-58.5</v>
      </c>
      <c r="N56" s="27">
        <v>6.8</v>
      </c>
      <c r="O56" s="20">
        <v>-315</v>
      </c>
      <c r="P56" s="20">
        <v>15</v>
      </c>
      <c r="X56" s="20">
        <v>-56.569969999999998</v>
      </c>
      <c r="Y56" s="20">
        <v>-57</v>
      </c>
      <c r="Z56" s="20">
        <v>-41.81</v>
      </c>
      <c r="AA56" s="26">
        <f t="shared" si="2"/>
        <v>-296.60360000000003</v>
      </c>
    </row>
    <row r="57" spans="1:28">
      <c r="A57" s="26">
        <v>54</v>
      </c>
      <c r="B57" s="10" t="s">
        <v>110</v>
      </c>
      <c r="C57" s="10">
        <v>2012</v>
      </c>
      <c r="E57" s="10" t="s">
        <v>111</v>
      </c>
      <c r="F57" s="23">
        <v>52</v>
      </c>
      <c r="G57" s="23">
        <v>105</v>
      </c>
      <c r="H57" s="10" t="s">
        <v>16</v>
      </c>
      <c r="I57" s="10" t="s">
        <v>30</v>
      </c>
      <c r="J57" s="10" t="s">
        <v>112</v>
      </c>
      <c r="K57" s="10" t="s">
        <v>19</v>
      </c>
      <c r="L57" s="26">
        <v>13</v>
      </c>
      <c r="M57" s="23">
        <v>-70.092307692307699</v>
      </c>
      <c r="N57" s="27">
        <v>6.185933173804032</v>
      </c>
      <c r="O57" s="20">
        <v>-306.08461538461535</v>
      </c>
      <c r="P57" s="20">
        <v>13.597661940804768</v>
      </c>
      <c r="Q57" s="23">
        <v>-6.7</v>
      </c>
      <c r="R57" s="26">
        <v>5</v>
      </c>
      <c r="S57" s="23">
        <v>6</v>
      </c>
      <c r="T57" s="33">
        <f>(Q57+1000)/(M57+1000)</f>
        <v>1.0681705380186619</v>
      </c>
      <c r="X57" s="20">
        <v>-81.745329999999996</v>
      </c>
      <c r="Y57" s="20">
        <v>-102</v>
      </c>
      <c r="Z57" s="20">
        <v>-81.745329999999996</v>
      </c>
      <c r="AA57" s="26">
        <f t="shared" si="2"/>
        <v>-270.11667018461537</v>
      </c>
    </row>
    <row r="58" spans="1:28">
      <c r="A58" s="26">
        <v>55</v>
      </c>
      <c r="B58" s="10" t="s">
        <v>85</v>
      </c>
      <c r="C58" s="10">
        <v>1986</v>
      </c>
      <c r="D58" s="43" t="s">
        <v>252</v>
      </c>
      <c r="E58" s="10" t="s">
        <v>113</v>
      </c>
      <c r="F58" s="23">
        <v>52.4</v>
      </c>
      <c r="G58" s="23">
        <v>9.89</v>
      </c>
      <c r="H58" s="10" t="s">
        <v>34</v>
      </c>
      <c r="I58" s="10" t="s">
        <v>44</v>
      </c>
      <c r="J58" s="10" t="s">
        <v>84</v>
      </c>
      <c r="K58" s="10" t="s">
        <v>19</v>
      </c>
      <c r="L58" s="26">
        <v>3</v>
      </c>
      <c r="M58" s="23">
        <v>-60.29999999999999</v>
      </c>
      <c r="N58" s="27">
        <v>1.9000000000000021</v>
      </c>
      <c r="O58" s="20">
        <v>-355.33333333333331</v>
      </c>
      <c r="P58" s="20">
        <v>17.243356208503418</v>
      </c>
      <c r="U58" s="20">
        <v>-25</v>
      </c>
      <c r="V58" s="26">
        <v>1</v>
      </c>
      <c r="X58" s="20">
        <v>-54.728720000000003</v>
      </c>
      <c r="Y58" s="20">
        <v>-55</v>
      </c>
      <c r="Z58" s="20">
        <v>-25</v>
      </c>
      <c r="AA58" s="26">
        <f t="shared" si="2"/>
        <v>-344.33333333333331</v>
      </c>
      <c r="AB58" s="26">
        <f>O58-(U58*0.5)</f>
        <v>-342.83333333333331</v>
      </c>
    </row>
    <row r="59" spans="1:28">
      <c r="A59" s="26">
        <v>56</v>
      </c>
      <c r="B59" s="10" t="s">
        <v>114</v>
      </c>
      <c r="C59" s="10">
        <v>1999</v>
      </c>
      <c r="E59" s="10" t="s">
        <v>115</v>
      </c>
      <c r="F59" s="23">
        <v>54.6</v>
      </c>
      <c r="G59" s="24">
        <v>-113.4</v>
      </c>
      <c r="H59" s="11" t="s">
        <v>34</v>
      </c>
      <c r="I59" s="10" t="s">
        <v>107</v>
      </c>
      <c r="J59" s="10" t="s">
        <v>81</v>
      </c>
      <c r="K59" s="10" t="s">
        <v>19</v>
      </c>
      <c r="L59" s="26">
        <v>62</v>
      </c>
      <c r="M59" s="34">
        <v>-59.0839</v>
      </c>
      <c r="N59" s="35">
        <v>3.9148999999999998</v>
      </c>
      <c r="O59" s="30">
        <v>-374.4726</v>
      </c>
      <c r="P59" s="30">
        <v>16.151599999999998</v>
      </c>
      <c r="Q59" s="34"/>
      <c r="R59" s="31"/>
      <c r="S59" s="34"/>
      <c r="T59" s="36"/>
      <c r="X59" s="22">
        <v>-118.11424</v>
      </c>
      <c r="Y59" s="20">
        <v>-137</v>
      </c>
      <c r="Z59" s="20">
        <v>-126.61</v>
      </c>
      <c r="AA59" s="26">
        <f t="shared" si="2"/>
        <v>-318.76420000000002</v>
      </c>
    </row>
    <row r="60" spans="1:28">
      <c r="A60" s="26">
        <v>57</v>
      </c>
      <c r="B60" s="10" t="s">
        <v>94</v>
      </c>
      <c r="C60" s="10">
        <v>2011</v>
      </c>
      <c r="E60" s="10" t="s">
        <v>116</v>
      </c>
      <c r="F60" s="23">
        <v>54.95</v>
      </c>
      <c r="G60" s="23">
        <v>-112.47</v>
      </c>
      <c r="H60" s="10" t="s">
        <v>34</v>
      </c>
      <c r="I60" s="10" t="s">
        <v>107</v>
      </c>
      <c r="J60" s="10" t="s">
        <v>96</v>
      </c>
      <c r="K60" s="10" t="s">
        <v>46</v>
      </c>
      <c r="L60" s="26">
        <v>4</v>
      </c>
      <c r="M60" s="23">
        <v>-58.3</v>
      </c>
      <c r="N60" s="27">
        <v>4.5</v>
      </c>
      <c r="O60" s="20">
        <v>-370.4</v>
      </c>
      <c r="P60" s="20">
        <v>13</v>
      </c>
      <c r="U60" s="20">
        <v>-131.5</v>
      </c>
      <c r="V60" s="26">
        <v>4</v>
      </c>
      <c r="W60" s="20">
        <v>3</v>
      </c>
      <c r="X60" s="20">
        <v>-119.2747</v>
      </c>
      <c r="Y60" s="20">
        <v>-135</v>
      </c>
      <c r="Z60" s="20">
        <v>-131.5</v>
      </c>
      <c r="AA60" s="26">
        <f t="shared" si="2"/>
        <v>-312.53999999999996</v>
      </c>
      <c r="AB60" s="26">
        <f>O60-(U60*0.5)</f>
        <v>-304.64999999999998</v>
      </c>
    </row>
    <row r="61" spans="1:28">
      <c r="A61" s="26">
        <v>58</v>
      </c>
      <c r="B61" s="10" t="s">
        <v>117</v>
      </c>
      <c r="C61" s="10">
        <v>1999</v>
      </c>
      <c r="D61" s="43" t="s">
        <v>252</v>
      </c>
      <c r="E61" s="10" t="s">
        <v>118</v>
      </c>
      <c r="F61" s="23">
        <v>55.1</v>
      </c>
      <c r="G61" s="23">
        <v>-4.38</v>
      </c>
      <c r="H61" s="10" t="s">
        <v>34</v>
      </c>
      <c r="I61" s="10" t="s">
        <v>78</v>
      </c>
      <c r="J61" s="10" t="s">
        <v>239</v>
      </c>
      <c r="K61" s="10" t="s">
        <v>19</v>
      </c>
      <c r="L61" s="26">
        <v>3</v>
      </c>
      <c r="M61" s="23">
        <v>-76.3</v>
      </c>
      <c r="N61" s="27">
        <v>1.5</v>
      </c>
      <c r="O61" s="20">
        <v>-341</v>
      </c>
      <c r="P61" s="20">
        <v>6</v>
      </c>
      <c r="Q61" s="23">
        <v>-5.6</v>
      </c>
      <c r="R61" s="26">
        <v>3</v>
      </c>
      <c r="S61" s="23">
        <v>6.8</v>
      </c>
      <c r="T61" s="33">
        <f>(Q61+1000)/(M61+1000)</f>
        <v>1.0765400021652052</v>
      </c>
      <c r="U61" s="20">
        <v>-41.2</v>
      </c>
      <c r="V61" s="26">
        <v>2</v>
      </c>
      <c r="W61" s="20">
        <v>2</v>
      </c>
      <c r="X61" s="20">
        <v>-66.053229999999999</v>
      </c>
      <c r="Y61" s="20">
        <v>-61</v>
      </c>
      <c r="Z61" s="20">
        <v>-41.2</v>
      </c>
      <c r="AA61" s="26">
        <f t="shared" si="2"/>
        <v>-322.87200000000001</v>
      </c>
      <c r="AB61" s="26">
        <f>O61-(U61*0.5)</f>
        <v>-320.39999999999998</v>
      </c>
    </row>
    <row r="62" spans="1:28">
      <c r="A62" s="26">
        <v>59</v>
      </c>
      <c r="B62" s="10" t="s">
        <v>119</v>
      </c>
      <c r="C62" s="10">
        <v>1999</v>
      </c>
      <c r="E62" s="10" t="s">
        <v>120</v>
      </c>
      <c r="F62" s="23">
        <v>55.7</v>
      </c>
      <c r="G62" s="23">
        <v>-97.9</v>
      </c>
      <c r="H62" s="10" t="s">
        <v>34</v>
      </c>
      <c r="I62" s="10" t="s">
        <v>107</v>
      </c>
      <c r="J62" s="10" t="s">
        <v>96</v>
      </c>
      <c r="K62" s="10" t="s">
        <v>46</v>
      </c>
      <c r="L62" s="26">
        <v>22</v>
      </c>
      <c r="M62" s="23">
        <v>-55.268181818181809</v>
      </c>
      <c r="N62" s="27">
        <v>5.6067464772902005</v>
      </c>
      <c r="O62" s="20">
        <v>-372.03636363636372</v>
      </c>
      <c r="P62" s="20">
        <v>3.8872669262406201</v>
      </c>
      <c r="X62" s="20">
        <v>-109.86978999999999</v>
      </c>
      <c r="Y62" s="20">
        <v>-129</v>
      </c>
      <c r="Z62" s="20">
        <v>-118.13000000000001</v>
      </c>
      <c r="AA62" s="26">
        <f t="shared" si="2"/>
        <v>-320.05916363636373</v>
      </c>
    </row>
    <row r="63" spans="1:28">
      <c r="A63" s="26">
        <v>60</v>
      </c>
      <c r="B63" s="10" t="s">
        <v>59</v>
      </c>
      <c r="D63" s="43" t="s">
        <v>252</v>
      </c>
      <c r="E63" s="10" t="s">
        <v>121</v>
      </c>
      <c r="F63" s="23">
        <v>59</v>
      </c>
      <c r="G63" s="23">
        <v>-96</v>
      </c>
      <c r="H63" s="10" t="s">
        <v>34</v>
      </c>
      <c r="I63" s="10" t="s">
        <v>61</v>
      </c>
      <c r="J63" s="10" t="s">
        <v>236</v>
      </c>
      <c r="K63" s="10" t="s">
        <v>19</v>
      </c>
      <c r="L63" s="26">
        <v>1</v>
      </c>
      <c r="M63" s="23">
        <v>-62.9</v>
      </c>
      <c r="N63" s="27">
        <v>1.9</v>
      </c>
      <c r="O63" s="20">
        <v>-365</v>
      </c>
      <c r="P63" s="20">
        <v>15</v>
      </c>
      <c r="X63" s="20">
        <v>-113.75944</v>
      </c>
      <c r="Y63" s="20">
        <v>-136</v>
      </c>
      <c r="Z63" s="20">
        <v>-125.55</v>
      </c>
      <c r="AA63" s="26">
        <f t="shared" si="2"/>
        <v>-309.75799999999998</v>
      </c>
    </row>
    <row r="64" spans="1:28">
      <c r="A64" s="26">
        <v>61</v>
      </c>
      <c r="B64" s="10" t="s">
        <v>122</v>
      </c>
      <c r="C64" s="10">
        <v>2006</v>
      </c>
      <c r="E64" s="10" t="s">
        <v>123</v>
      </c>
      <c r="F64" s="23">
        <v>60.16</v>
      </c>
      <c r="G64" s="23">
        <v>-149</v>
      </c>
      <c r="H64" s="10" t="s">
        <v>34</v>
      </c>
      <c r="I64" s="10" t="s">
        <v>78</v>
      </c>
      <c r="J64" s="10" t="s">
        <v>96</v>
      </c>
      <c r="K64" s="10" t="s">
        <v>19</v>
      </c>
      <c r="L64" s="26">
        <v>6</v>
      </c>
      <c r="M64" s="23">
        <v>-69.650000000000006</v>
      </c>
      <c r="N64" s="27">
        <v>4.6900000000000004</v>
      </c>
      <c r="O64" s="20">
        <v>-338</v>
      </c>
      <c r="P64" s="20">
        <v>8</v>
      </c>
      <c r="Q64" s="23">
        <v>-5.45</v>
      </c>
      <c r="R64" s="26">
        <v>6</v>
      </c>
      <c r="S64" s="23">
        <v>2.66</v>
      </c>
      <c r="T64" s="33">
        <f>(Q64+1000)/(M64+1000)</f>
        <v>1.0690062879561455</v>
      </c>
      <c r="U64" s="20">
        <v>-120</v>
      </c>
      <c r="V64" s="26">
        <v>6</v>
      </c>
      <c r="W64" s="20">
        <v>4.8</v>
      </c>
      <c r="X64" s="20">
        <v>-122.29443999999999</v>
      </c>
      <c r="Y64" s="20">
        <v>-132</v>
      </c>
      <c r="Z64" s="20">
        <v>-120</v>
      </c>
      <c r="AA64" s="26">
        <f t="shared" si="2"/>
        <v>-285.2</v>
      </c>
      <c r="AB64" s="26">
        <f>O64-(U64*0.5)</f>
        <v>-278</v>
      </c>
    </row>
    <row r="65" spans="1:28">
      <c r="A65" s="26">
        <v>62</v>
      </c>
      <c r="B65" s="10" t="s">
        <v>124</v>
      </c>
      <c r="C65" s="10">
        <v>1992</v>
      </c>
      <c r="D65" s="43" t="s">
        <v>252</v>
      </c>
      <c r="E65" s="10" t="s">
        <v>125</v>
      </c>
      <c r="F65" s="23">
        <v>61.14</v>
      </c>
      <c r="G65" s="24">
        <v>-161.16</v>
      </c>
      <c r="H65" s="11" t="s">
        <v>16</v>
      </c>
      <c r="I65" s="10" t="s">
        <v>30</v>
      </c>
      <c r="J65" s="10" t="s">
        <v>240</v>
      </c>
      <c r="K65" s="10" t="s">
        <v>46</v>
      </c>
      <c r="L65" s="26">
        <v>4</v>
      </c>
      <c r="M65" s="34">
        <v>-56.5</v>
      </c>
      <c r="N65" s="35">
        <v>1.1000000000000001</v>
      </c>
      <c r="O65" s="30">
        <v>-369.1</v>
      </c>
      <c r="P65" s="30">
        <v>11.2</v>
      </c>
      <c r="Q65" s="34"/>
      <c r="R65" s="31"/>
      <c r="S65" s="34"/>
      <c r="T65" s="36"/>
      <c r="X65" s="22">
        <v>-89.467309999999998</v>
      </c>
      <c r="Y65" s="20">
        <v>-96</v>
      </c>
      <c r="Z65" s="20">
        <v>-89.467309999999998</v>
      </c>
      <c r="AA65" s="26">
        <f t="shared" si="2"/>
        <v>-329.7343836</v>
      </c>
    </row>
    <row r="66" spans="1:28">
      <c r="A66" s="26">
        <v>63</v>
      </c>
      <c r="B66" s="10" t="s">
        <v>124</v>
      </c>
      <c r="C66" s="10">
        <v>1992</v>
      </c>
      <c r="D66" s="43" t="s">
        <v>252</v>
      </c>
      <c r="E66" s="10" t="s">
        <v>126</v>
      </c>
      <c r="F66" s="23">
        <v>61.14</v>
      </c>
      <c r="G66" s="24">
        <v>-161.16</v>
      </c>
      <c r="H66" s="11" t="s">
        <v>16</v>
      </c>
      <c r="I66" s="10" t="s">
        <v>30</v>
      </c>
      <c r="J66" s="10" t="s">
        <v>240</v>
      </c>
      <c r="K66" s="10" t="s">
        <v>46</v>
      </c>
      <c r="L66" s="26">
        <v>4</v>
      </c>
      <c r="M66" s="34">
        <v>-58.5</v>
      </c>
      <c r="N66" s="35">
        <v>1.1000000000000001</v>
      </c>
      <c r="O66" s="30">
        <v>-372.9</v>
      </c>
      <c r="P66" s="30">
        <v>11</v>
      </c>
      <c r="Q66" s="34"/>
      <c r="R66" s="31"/>
      <c r="S66" s="34"/>
      <c r="T66" s="36"/>
      <c r="X66" s="22">
        <v>-89.467309999999998</v>
      </c>
      <c r="Y66" s="20">
        <v>-96</v>
      </c>
      <c r="Z66" s="20">
        <v>-89.467309999999998</v>
      </c>
      <c r="AA66" s="26">
        <f t="shared" si="2"/>
        <v>-333.53438359999996</v>
      </c>
    </row>
    <row r="67" spans="1:28">
      <c r="A67" s="26">
        <v>64</v>
      </c>
      <c r="B67" s="10" t="s">
        <v>124</v>
      </c>
      <c r="C67" s="10">
        <v>1992</v>
      </c>
      <c r="D67" s="43" t="s">
        <v>252</v>
      </c>
      <c r="E67" s="10" t="s">
        <v>127</v>
      </c>
      <c r="F67" s="23">
        <v>61.14</v>
      </c>
      <c r="G67" s="24">
        <v>-161.16</v>
      </c>
      <c r="H67" s="11" t="s">
        <v>16</v>
      </c>
      <c r="I67" s="10" t="s">
        <v>30</v>
      </c>
      <c r="J67" s="10" t="s">
        <v>240</v>
      </c>
      <c r="K67" s="10" t="s">
        <v>46</v>
      </c>
      <c r="L67" s="26">
        <v>6</v>
      </c>
      <c r="M67" s="34">
        <v>-61.7</v>
      </c>
      <c r="N67" s="35">
        <v>2.2000000000000002</v>
      </c>
      <c r="O67" s="30">
        <v>-349.7</v>
      </c>
      <c r="P67" s="30">
        <v>16.899999999999999</v>
      </c>
      <c r="Q67" s="34"/>
      <c r="R67" s="31"/>
      <c r="S67" s="34"/>
      <c r="T67" s="36"/>
      <c r="X67" s="22">
        <v>-89.467309999999998</v>
      </c>
      <c r="Y67" s="20">
        <v>-96</v>
      </c>
      <c r="Z67" s="20">
        <v>-89.467309999999998</v>
      </c>
      <c r="AA67" s="26">
        <f t="shared" si="2"/>
        <v>-310.33438359999997</v>
      </c>
    </row>
    <row r="68" spans="1:28">
      <c r="A68" s="26">
        <v>65</v>
      </c>
      <c r="B68" s="10" t="s">
        <v>124</v>
      </c>
      <c r="C68" s="10">
        <v>1992</v>
      </c>
      <c r="D68" s="43" t="s">
        <v>252</v>
      </c>
      <c r="E68" s="10" t="s">
        <v>128</v>
      </c>
      <c r="F68" s="23">
        <v>61.14</v>
      </c>
      <c r="G68" s="24">
        <v>-161.16</v>
      </c>
      <c r="H68" s="11" t="s">
        <v>16</v>
      </c>
      <c r="I68" s="10" t="s">
        <v>30</v>
      </c>
      <c r="J68" s="10" t="s">
        <v>240</v>
      </c>
      <c r="K68" s="10" t="s">
        <v>46</v>
      </c>
      <c r="L68" s="26">
        <v>12</v>
      </c>
      <c r="M68" s="34">
        <v>-60.5</v>
      </c>
      <c r="N68" s="35">
        <v>3.1</v>
      </c>
      <c r="O68" s="30">
        <v>-340.3</v>
      </c>
      <c r="P68" s="30">
        <v>19.100000000000001</v>
      </c>
      <c r="Q68" s="34"/>
      <c r="R68" s="31"/>
      <c r="S68" s="34"/>
      <c r="T68" s="36"/>
      <c r="X68" s="22">
        <v>-89.467309999999998</v>
      </c>
      <c r="Y68" s="20">
        <v>-96</v>
      </c>
      <c r="Z68" s="20">
        <v>-89.467309999999998</v>
      </c>
      <c r="AA68" s="26">
        <f t="shared" ref="AA68:AA99" si="4">O68-(Z68*0.44)</f>
        <v>-300.93438359999999</v>
      </c>
    </row>
    <row r="69" spans="1:28">
      <c r="A69" s="26">
        <v>66</v>
      </c>
      <c r="B69" s="10" t="s">
        <v>129</v>
      </c>
      <c r="C69" s="10">
        <v>2006</v>
      </c>
      <c r="E69" s="10" t="s">
        <v>130</v>
      </c>
      <c r="F69" s="23">
        <v>61.93</v>
      </c>
      <c r="G69" s="23">
        <v>129.37</v>
      </c>
      <c r="H69" s="11" t="s">
        <v>16</v>
      </c>
      <c r="I69" s="10" t="s">
        <v>30</v>
      </c>
      <c r="J69" s="10" t="s">
        <v>240</v>
      </c>
      <c r="K69" s="10" t="s">
        <v>46</v>
      </c>
      <c r="L69" s="26">
        <v>11</v>
      </c>
      <c r="M69" s="34">
        <v>-64.2</v>
      </c>
      <c r="N69" s="35">
        <v>6.7</v>
      </c>
      <c r="O69" s="30">
        <v>-377.4</v>
      </c>
      <c r="P69" s="30">
        <v>21.5</v>
      </c>
      <c r="Q69" s="34">
        <v>-16.7</v>
      </c>
      <c r="R69" s="31">
        <v>3</v>
      </c>
      <c r="S69" s="34">
        <v>0.7</v>
      </c>
      <c r="T69" s="33">
        <f>(Q69+1000)/(M69+1000)</f>
        <v>1.0507587091258817</v>
      </c>
      <c r="U69" s="20">
        <v>-136</v>
      </c>
      <c r="V69" s="26">
        <v>1</v>
      </c>
      <c r="X69" s="20">
        <v>-110.21595000000001</v>
      </c>
      <c r="Y69" s="20">
        <v>-144</v>
      </c>
      <c r="Z69" s="20">
        <v>-136</v>
      </c>
      <c r="AA69" s="26">
        <f t="shared" si="4"/>
        <v>-317.55999999999995</v>
      </c>
      <c r="AB69" s="26">
        <f t="shared" ref="AB69:AB74" si="5">O69-(U69*0.5)</f>
        <v>-309.39999999999998</v>
      </c>
    </row>
    <row r="70" spans="1:28">
      <c r="A70" s="26">
        <v>67</v>
      </c>
      <c r="B70" s="10" t="s">
        <v>129</v>
      </c>
      <c r="C70" s="10">
        <v>2005</v>
      </c>
      <c r="E70" s="10" t="s">
        <v>131</v>
      </c>
      <c r="F70" s="23">
        <v>61.93</v>
      </c>
      <c r="G70" s="23">
        <v>129.37</v>
      </c>
      <c r="H70" s="11" t="s">
        <v>16</v>
      </c>
      <c r="I70" s="10" t="s">
        <v>30</v>
      </c>
      <c r="J70" s="10" t="s">
        <v>240</v>
      </c>
      <c r="K70" s="10" t="s">
        <v>46</v>
      </c>
      <c r="L70" s="26">
        <v>19</v>
      </c>
      <c r="M70" s="34">
        <v>-62.5</v>
      </c>
      <c r="N70" s="35">
        <v>3.9</v>
      </c>
      <c r="O70" s="30">
        <v>-371.4</v>
      </c>
      <c r="P70" s="30">
        <v>8.8000000000000007</v>
      </c>
      <c r="Q70" s="34">
        <v>-12.3</v>
      </c>
      <c r="R70" s="31">
        <v>3</v>
      </c>
      <c r="S70" s="34">
        <v>0.8</v>
      </c>
      <c r="T70" s="33">
        <f>(Q70+1000)/(M70+1000)</f>
        <v>1.0535466666666666</v>
      </c>
      <c r="U70" s="20">
        <v>-117</v>
      </c>
      <c r="V70" s="26">
        <v>1</v>
      </c>
      <c r="X70" s="20">
        <v>-110.21595000000001</v>
      </c>
      <c r="Y70" s="20">
        <v>-144</v>
      </c>
      <c r="Z70" s="20">
        <v>-117</v>
      </c>
      <c r="AA70" s="26">
        <f t="shared" si="4"/>
        <v>-319.91999999999996</v>
      </c>
      <c r="AB70" s="26">
        <f t="shared" si="5"/>
        <v>-312.89999999999998</v>
      </c>
    </row>
    <row r="71" spans="1:28">
      <c r="A71" s="26">
        <v>68</v>
      </c>
      <c r="B71" s="10" t="s">
        <v>129</v>
      </c>
      <c r="C71" s="10">
        <v>2004</v>
      </c>
      <c r="E71" s="10" t="s">
        <v>132</v>
      </c>
      <c r="F71" s="23">
        <v>61.93</v>
      </c>
      <c r="G71" s="23">
        <v>129.37</v>
      </c>
      <c r="H71" s="11" t="s">
        <v>16</v>
      </c>
      <c r="I71" s="10" t="s">
        <v>30</v>
      </c>
      <c r="J71" s="10" t="s">
        <v>240</v>
      </c>
      <c r="K71" s="10" t="s">
        <v>46</v>
      </c>
      <c r="L71" s="26">
        <v>6</v>
      </c>
      <c r="M71" s="34">
        <v>-62.1</v>
      </c>
      <c r="N71" s="35">
        <v>2.4</v>
      </c>
      <c r="O71" s="30">
        <v>-381.3</v>
      </c>
      <c r="P71" s="30">
        <v>7.2</v>
      </c>
      <c r="Q71" s="34">
        <v>-6</v>
      </c>
      <c r="R71" s="31">
        <v>3</v>
      </c>
      <c r="S71" s="34">
        <v>0.8</v>
      </c>
      <c r="T71" s="33">
        <f>(Q71+1000)/(M71+1000)</f>
        <v>1.0598144791555604</v>
      </c>
      <c r="U71" s="20">
        <v>-118</v>
      </c>
      <c r="V71" s="26">
        <v>1</v>
      </c>
      <c r="X71" s="20">
        <v>-110.21595000000001</v>
      </c>
      <c r="Y71" s="20">
        <v>-144</v>
      </c>
      <c r="Z71" s="20">
        <v>-118</v>
      </c>
      <c r="AA71" s="26">
        <f t="shared" si="4"/>
        <v>-329.38</v>
      </c>
      <c r="AB71" s="26">
        <f t="shared" si="5"/>
        <v>-322.3</v>
      </c>
    </row>
    <row r="72" spans="1:28">
      <c r="A72" s="26">
        <v>69</v>
      </c>
      <c r="B72" s="10" t="s">
        <v>129</v>
      </c>
      <c r="C72" s="10">
        <v>2002</v>
      </c>
      <c r="E72" s="10" t="s">
        <v>133</v>
      </c>
      <c r="F72" s="23">
        <v>61.93</v>
      </c>
      <c r="G72" s="23">
        <v>129.37</v>
      </c>
      <c r="H72" s="11" t="s">
        <v>16</v>
      </c>
      <c r="I72" s="10" t="s">
        <v>30</v>
      </c>
      <c r="J72" s="10" t="s">
        <v>240</v>
      </c>
      <c r="K72" s="10" t="s">
        <v>46</v>
      </c>
      <c r="L72" s="26">
        <v>15</v>
      </c>
      <c r="M72" s="34">
        <v>-58.1</v>
      </c>
      <c r="N72" s="35">
        <v>1.8</v>
      </c>
      <c r="O72" s="30">
        <v>-362.4</v>
      </c>
      <c r="P72" s="30">
        <v>14.6</v>
      </c>
      <c r="Q72" s="34">
        <v>-0.6</v>
      </c>
      <c r="R72" s="31">
        <v>3</v>
      </c>
      <c r="S72" s="34">
        <v>1</v>
      </c>
      <c r="T72" s="33">
        <f>(Q72+1000)/(M72+1000)</f>
        <v>1.0610468202569274</v>
      </c>
      <c r="U72" s="20">
        <v>-117</v>
      </c>
      <c r="V72" s="26">
        <v>1</v>
      </c>
      <c r="X72" s="20">
        <v>-110.21595000000001</v>
      </c>
      <c r="Y72" s="20">
        <v>-144</v>
      </c>
      <c r="Z72" s="20">
        <v>-117</v>
      </c>
      <c r="AA72" s="26">
        <f t="shared" si="4"/>
        <v>-310.91999999999996</v>
      </c>
      <c r="AB72" s="26">
        <f t="shared" si="5"/>
        <v>-303.89999999999998</v>
      </c>
    </row>
    <row r="73" spans="1:28">
      <c r="A73" s="26">
        <v>70</v>
      </c>
      <c r="B73" s="10" t="s">
        <v>129</v>
      </c>
      <c r="C73" s="10">
        <v>2003</v>
      </c>
      <c r="E73" s="10" t="s">
        <v>134</v>
      </c>
      <c r="F73" s="23">
        <v>61.93</v>
      </c>
      <c r="G73" s="23">
        <v>129.37</v>
      </c>
      <c r="H73" s="11" t="s">
        <v>16</v>
      </c>
      <c r="I73" s="10" t="s">
        <v>30</v>
      </c>
      <c r="J73" s="10" t="s">
        <v>240</v>
      </c>
      <c r="K73" s="10" t="s">
        <v>46</v>
      </c>
      <c r="L73" s="26">
        <v>14</v>
      </c>
      <c r="M73" s="34">
        <v>-63.2</v>
      </c>
      <c r="N73" s="35">
        <v>4.0999999999999996</v>
      </c>
      <c r="O73" s="30">
        <v>-372.4</v>
      </c>
      <c r="P73" s="30">
        <v>29</v>
      </c>
      <c r="Q73" s="34">
        <v>-4.3</v>
      </c>
      <c r="R73" s="31">
        <v>3</v>
      </c>
      <c r="S73" s="34">
        <v>2.4</v>
      </c>
      <c r="T73" s="33">
        <f>(Q73+1000)/(M73+1000)</f>
        <v>1.062873612297182</v>
      </c>
      <c r="U73" s="20">
        <v>-117</v>
      </c>
      <c r="V73" s="26">
        <v>1</v>
      </c>
      <c r="X73" s="20">
        <v>-110.21595000000001</v>
      </c>
      <c r="Y73" s="20">
        <v>-144</v>
      </c>
      <c r="Z73" s="20">
        <v>-117</v>
      </c>
      <c r="AA73" s="26">
        <f t="shared" si="4"/>
        <v>-320.91999999999996</v>
      </c>
      <c r="AB73" s="26">
        <f t="shared" si="5"/>
        <v>-313.89999999999998</v>
      </c>
    </row>
    <row r="74" spans="1:28">
      <c r="A74" s="26">
        <v>71</v>
      </c>
      <c r="B74" s="10" t="s">
        <v>135</v>
      </c>
      <c r="C74" s="10">
        <v>2012</v>
      </c>
      <c r="E74" s="10" t="s">
        <v>136</v>
      </c>
      <c r="F74" s="23">
        <v>62</v>
      </c>
      <c r="G74" s="23">
        <v>-136.25</v>
      </c>
      <c r="H74" s="10" t="s">
        <v>16</v>
      </c>
      <c r="I74" s="10" t="s">
        <v>30</v>
      </c>
      <c r="J74" s="10" t="s">
        <v>22</v>
      </c>
      <c r="K74" s="10" t="s">
        <v>19</v>
      </c>
      <c r="L74" s="26">
        <v>2</v>
      </c>
      <c r="M74" s="23">
        <v>-67.900000000000006</v>
      </c>
      <c r="O74" s="20">
        <v>-320</v>
      </c>
      <c r="U74" s="20">
        <v>-165</v>
      </c>
      <c r="V74" s="26">
        <v>1</v>
      </c>
      <c r="X74" s="20">
        <v>-149.91396</v>
      </c>
      <c r="Y74" s="20">
        <v>-150</v>
      </c>
      <c r="Z74" s="20">
        <v>-165</v>
      </c>
      <c r="AA74" s="26">
        <f t="shared" si="4"/>
        <v>-247.4</v>
      </c>
      <c r="AB74" s="26">
        <f t="shared" si="5"/>
        <v>-237.5</v>
      </c>
    </row>
    <row r="75" spans="1:28">
      <c r="A75" s="26">
        <v>72</v>
      </c>
      <c r="B75" s="10" t="s">
        <v>135</v>
      </c>
      <c r="C75" s="10">
        <v>2012</v>
      </c>
      <c r="E75" s="10" t="s">
        <v>137</v>
      </c>
      <c r="F75" s="23">
        <v>62</v>
      </c>
      <c r="G75" s="23">
        <v>-136.25</v>
      </c>
      <c r="H75" s="10" t="s">
        <v>16</v>
      </c>
      <c r="I75" s="10" t="s">
        <v>30</v>
      </c>
      <c r="J75" s="10" t="s">
        <v>22</v>
      </c>
      <c r="K75" s="10" t="s">
        <v>19</v>
      </c>
      <c r="L75" s="26">
        <v>2</v>
      </c>
      <c r="M75" s="23">
        <v>-72.7</v>
      </c>
      <c r="O75" s="20">
        <v>-319</v>
      </c>
      <c r="X75" s="20">
        <v>-149.91396</v>
      </c>
      <c r="Y75" s="20">
        <v>-150</v>
      </c>
      <c r="Z75" s="20">
        <v>-149.91396</v>
      </c>
      <c r="AA75" s="26">
        <f t="shared" si="4"/>
        <v>-253.0378576</v>
      </c>
    </row>
    <row r="76" spans="1:28">
      <c r="A76" s="26">
        <v>73</v>
      </c>
      <c r="B76" s="10" t="s">
        <v>122</v>
      </c>
      <c r="C76" s="10">
        <v>2006</v>
      </c>
      <c r="E76" s="10" t="s">
        <v>138</v>
      </c>
      <c r="F76" s="23">
        <v>62.81</v>
      </c>
      <c r="G76" s="23">
        <v>-149</v>
      </c>
      <c r="H76" s="12" t="s">
        <v>34</v>
      </c>
      <c r="I76" s="10" t="s">
        <v>107</v>
      </c>
      <c r="J76" s="10" t="s">
        <v>96</v>
      </c>
      <c r="K76" s="10" t="s">
        <v>19</v>
      </c>
      <c r="L76" s="26">
        <v>2</v>
      </c>
      <c r="M76" s="23">
        <v>-84.1</v>
      </c>
      <c r="N76" s="27">
        <v>2.6870057685088784</v>
      </c>
      <c r="O76" s="20">
        <v>-337.85</v>
      </c>
      <c r="P76" s="20">
        <v>11.24299782086613</v>
      </c>
      <c r="Q76" s="23">
        <v>-2.85</v>
      </c>
      <c r="R76" s="31">
        <v>2</v>
      </c>
      <c r="S76" s="34">
        <v>14.8</v>
      </c>
      <c r="T76" s="33">
        <f>(Q76+1000)/(M76+1000)</f>
        <v>1.0887105579211704</v>
      </c>
      <c r="U76" s="20">
        <v>-132.1</v>
      </c>
      <c r="V76" s="26">
        <v>2</v>
      </c>
      <c r="W76" s="20">
        <v>8.9</v>
      </c>
      <c r="X76" s="20">
        <v>-130.03555</v>
      </c>
      <c r="Y76" s="20">
        <v>-142</v>
      </c>
      <c r="Z76" s="20">
        <v>-132.1</v>
      </c>
      <c r="AA76" s="26">
        <f t="shared" si="4"/>
        <v>-279.726</v>
      </c>
      <c r="AB76" s="26">
        <f>O76-(U76*0.5)</f>
        <v>-271.8</v>
      </c>
    </row>
    <row r="77" spans="1:28">
      <c r="A77" s="26">
        <v>74</v>
      </c>
      <c r="B77" s="10" t="s">
        <v>135</v>
      </c>
      <c r="C77" s="10">
        <v>2012</v>
      </c>
      <c r="E77" s="10" t="s">
        <v>139</v>
      </c>
      <c r="F77" s="23">
        <v>64</v>
      </c>
      <c r="G77" s="23">
        <v>-139.5</v>
      </c>
      <c r="H77" s="10" t="s">
        <v>16</v>
      </c>
      <c r="I77" s="10" t="s">
        <v>30</v>
      </c>
      <c r="J77" s="10" t="s">
        <v>22</v>
      </c>
      <c r="K77" s="10" t="s">
        <v>19</v>
      </c>
      <c r="L77" s="26">
        <v>3</v>
      </c>
      <c r="M77" s="23">
        <v>-61.3</v>
      </c>
      <c r="N77" s="27">
        <v>0.4</v>
      </c>
      <c r="O77" s="20">
        <v>-360</v>
      </c>
      <c r="P77" s="20">
        <v>3</v>
      </c>
      <c r="U77" s="20">
        <v>-132</v>
      </c>
      <c r="V77" s="26">
        <v>1</v>
      </c>
      <c r="X77" s="20">
        <v>-145.97314</v>
      </c>
      <c r="Y77" s="20">
        <v>-161</v>
      </c>
      <c r="Z77" s="20">
        <v>-132</v>
      </c>
      <c r="AA77" s="26">
        <f t="shared" si="4"/>
        <v>-301.92</v>
      </c>
      <c r="AB77" s="26">
        <f>O77-(U77*0.5)</f>
        <v>-294</v>
      </c>
    </row>
    <row r="78" spans="1:28">
      <c r="A78" s="26">
        <v>75</v>
      </c>
      <c r="B78" s="10" t="s">
        <v>122</v>
      </c>
      <c r="C78" s="10">
        <v>2006</v>
      </c>
      <c r="E78" s="10" t="s">
        <v>140</v>
      </c>
      <c r="F78" s="23">
        <v>64.7</v>
      </c>
      <c r="G78" s="23">
        <v>-148</v>
      </c>
      <c r="H78" s="12" t="s">
        <v>34</v>
      </c>
      <c r="I78" s="10" t="s">
        <v>61</v>
      </c>
      <c r="J78" s="10" t="s">
        <v>96</v>
      </c>
      <c r="K78" s="10" t="s">
        <v>19</v>
      </c>
      <c r="L78" s="26">
        <v>1</v>
      </c>
      <c r="M78" s="23">
        <v>-55.1</v>
      </c>
      <c r="O78" s="20">
        <v>-389.5</v>
      </c>
      <c r="Q78" s="23">
        <v>-16.399999999999999</v>
      </c>
      <c r="R78" s="26">
        <v>1</v>
      </c>
      <c r="T78" s="33">
        <f>(Q78+1000)/(M78+1000)</f>
        <v>1.0409567149962959</v>
      </c>
      <c r="U78" s="20">
        <v>-145</v>
      </c>
      <c r="V78" s="26">
        <v>1</v>
      </c>
      <c r="X78" s="20">
        <v>-130.98854</v>
      </c>
      <c r="Y78" s="20">
        <v>-149</v>
      </c>
      <c r="Z78" s="20">
        <v>-145</v>
      </c>
      <c r="AA78" s="26">
        <f t="shared" si="4"/>
        <v>-325.7</v>
      </c>
      <c r="AB78" s="26">
        <f>O78-(U78*0.5)</f>
        <v>-317</v>
      </c>
    </row>
    <row r="79" spans="1:28">
      <c r="A79" s="26">
        <v>76</v>
      </c>
      <c r="B79" s="10" t="s">
        <v>141</v>
      </c>
      <c r="C79" s="10">
        <v>2008</v>
      </c>
      <c r="E79" s="10" t="s">
        <v>142</v>
      </c>
      <c r="F79" s="23">
        <v>64.819999999999993</v>
      </c>
      <c r="G79" s="24">
        <v>-147.87</v>
      </c>
      <c r="H79" s="11" t="s">
        <v>16</v>
      </c>
      <c r="I79" s="10" t="s">
        <v>30</v>
      </c>
      <c r="J79" s="10" t="s">
        <v>240</v>
      </c>
      <c r="K79" s="10" t="s">
        <v>19</v>
      </c>
      <c r="L79" s="26">
        <v>1</v>
      </c>
      <c r="M79" s="34">
        <v>-75.5</v>
      </c>
      <c r="N79" s="35"/>
      <c r="O79" s="30">
        <v>-353</v>
      </c>
      <c r="P79" s="30"/>
      <c r="Q79" s="34"/>
      <c r="R79" s="31"/>
      <c r="S79" s="34"/>
      <c r="T79" s="36"/>
      <c r="X79" s="22">
        <v>-131.04913999999999</v>
      </c>
      <c r="Y79" s="20">
        <v>-149</v>
      </c>
      <c r="Z79" s="20">
        <v>-131.04913999999999</v>
      </c>
      <c r="AA79" s="26">
        <f t="shared" si="4"/>
        <v>-295.33837840000001</v>
      </c>
    </row>
    <row r="80" spans="1:28">
      <c r="A80" s="26">
        <v>77</v>
      </c>
      <c r="B80" s="10" t="s">
        <v>122</v>
      </c>
      <c r="C80" s="10">
        <v>2006</v>
      </c>
      <c r="E80" s="10" t="s">
        <v>143</v>
      </c>
      <c r="F80" s="23">
        <v>64.86</v>
      </c>
      <c r="G80" s="23">
        <v>-148</v>
      </c>
      <c r="H80" s="12" t="s">
        <v>34</v>
      </c>
      <c r="I80" s="10" t="s">
        <v>61</v>
      </c>
      <c r="J80" s="10" t="s">
        <v>96</v>
      </c>
      <c r="K80" s="10" t="s">
        <v>19</v>
      </c>
      <c r="L80" s="26">
        <v>2</v>
      </c>
      <c r="M80" s="23">
        <v>-56.75</v>
      </c>
      <c r="N80" s="27">
        <f>STDEV(-56.6,-56.9)</f>
        <v>0.21213203435596223</v>
      </c>
      <c r="O80" s="20">
        <f>AVERAGE(-394.1,-365)</f>
        <v>-379.55</v>
      </c>
      <c r="P80" s="20">
        <f>STDEV(-394.1,-365)</f>
        <v>20.576807332528549</v>
      </c>
      <c r="Q80" s="23">
        <f>AVERAGE(-18,-14)</f>
        <v>-16</v>
      </c>
      <c r="R80" s="26">
        <v>2</v>
      </c>
      <c r="S80" s="23">
        <f>STDEV(-18,-14)</f>
        <v>2.8284271247461903</v>
      </c>
      <c r="T80" s="33">
        <f t="shared" ref="T80:T94" si="6">(Q80+1000)/(M80+1000)</f>
        <v>1.0432016962629207</v>
      </c>
      <c r="U80" s="20">
        <v>-144.9</v>
      </c>
      <c r="V80" s="26">
        <v>1</v>
      </c>
      <c r="X80" s="20">
        <v>-133.51697999999999</v>
      </c>
      <c r="Y80" s="20">
        <v>-149</v>
      </c>
      <c r="Z80" s="20">
        <v>-144.9</v>
      </c>
      <c r="AA80" s="26">
        <f t="shared" si="4"/>
        <v>-315.79399999999998</v>
      </c>
      <c r="AB80" s="26">
        <f>O80-(U80*0.5)</f>
        <v>-307.10000000000002</v>
      </c>
    </row>
    <row r="81" spans="1:28">
      <c r="A81" s="26">
        <v>78</v>
      </c>
      <c r="B81" s="10" t="s">
        <v>122</v>
      </c>
      <c r="C81" s="10">
        <v>2006</v>
      </c>
      <c r="E81" s="10" t="s">
        <v>144</v>
      </c>
      <c r="F81" s="23">
        <v>64.87</v>
      </c>
      <c r="G81" s="23">
        <v>-148</v>
      </c>
      <c r="H81" s="12" t="s">
        <v>34</v>
      </c>
      <c r="I81" s="10" t="s">
        <v>107</v>
      </c>
      <c r="J81" s="10" t="s">
        <v>96</v>
      </c>
      <c r="K81" s="10" t="s">
        <v>19</v>
      </c>
      <c r="L81" s="26">
        <v>1</v>
      </c>
      <c r="M81" s="23">
        <v>-50.5</v>
      </c>
      <c r="O81" s="20">
        <v>-362.4</v>
      </c>
      <c r="Q81" s="23">
        <v>-19.100000000000001</v>
      </c>
      <c r="R81" s="26">
        <v>1</v>
      </c>
      <c r="T81" s="33">
        <f t="shared" si="6"/>
        <v>1.033070036861506</v>
      </c>
      <c r="U81" s="20">
        <v>-145</v>
      </c>
      <c r="V81" s="26">
        <v>1</v>
      </c>
      <c r="X81" s="20">
        <v>-133.51697999999999</v>
      </c>
      <c r="Y81" s="20">
        <v>-149</v>
      </c>
      <c r="Z81" s="20">
        <v>-145</v>
      </c>
      <c r="AA81" s="26">
        <f t="shared" si="4"/>
        <v>-298.59999999999997</v>
      </c>
      <c r="AB81" s="26">
        <f>O81-(U81*0.5)</f>
        <v>-289.89999999999998</v>
      </c>
    </row>
    <row r="82" spans="1:28">
      <c r="A82" s="26">
        <v>79</v>
      </c>
      <c r="B82" s="10" t="s">
        <v>122</v>
      </c>
      <c r="C82" s="10">
        <v>2006</v>
      </c>
      <c r="E82" s="10" t="s">
        <v>145</v>
      </c>
      <c r="F82" s="23">
        <v>64.87</v>
      </c>
      <c r="G82" s="23">
        <v>-148</v>
      </c>
      <c r="H82" s="12" t="s">
        <v>34</v>
      </c>
      <c r="I82" s="10" t="s">
        <v>78</v>
      </c>
      <c r="J82" s="10" t="s">
        <v>96</v>
      </c>
      <c r="K82" s="10" t="s">
        <v>19</v>
      </c>
      <c r="L82" s="26">
        <v>1</v>
      </c>
      <c r="M82" s="23">
        <v>-52.3</v>
      </c>
      <c r="O82" s="20">
        <v>-377.1</v>
      </c>
      <c r="Q82" s="23">
        <v>-15.1</v>
      </c>
      <c r="R82" s="26">
        <v>1</v>
      </c>
      <c r="T82" s="33">
        <f t="shared" si="6"/>
        <v>1.039252928141817</v>
      </c>
      <c r="U82" s="20">
        <v>-145</v>
      </c>
      <c r="V82" s="26">
        <v>1</v>
      </c>
      <c r="X82" s="20">
        <v>-133.51697999999999</v>
      </c>
      <c r="Y82" s="20">
        <v>-149</v>
      </c>
      <c r="Z82" s="20">
        <v>-145</v>
      </c>
      <c r="AA82" s="26">
        <f t="shared" si="4"/>
        <v>-313.3</v>
      </c>
      <c r="AB82" s="26">
        <f>O82-(U82*0.5)</f>
        <v>-304.60000000000002</v>
      </c>
    </row>
    <row r="83" spans="1:28">
      <c r="A83" s="26">
        <v>80</v>
      </c>
      <c r="B83" s="10" t="s">
        <v>146</v>
      </c>
      <c r="C83" s="10">
        <v>2016</v>
      </c>
      <c r="E83" s="10" t="s">
        <v>147</v>
      </c>
      <c r="F83" s="23">
        <v>64.87</v>
      </c>
      <c r="G83" s="23">
        <v>-147.87</v>
      </c>
      <c r="H83" s="10" t="s">
        <v>16</v>
      </c>
      <c r="I83" s="10" t="s">
        <v>30</v>
      </c>
      <c r="J83" s="10" t="s">
        <v>241</v>
      </c>
      <c r="K83" s="10" t="s">
        <v>19</v>
      </c>
      <c r="L83" s="26">
        <v>1</v>
      </c>
      <c r="M83" s="23">
        <v>-62.73</v>
      </c>
      <c r="O83" s="20">
        <v>-362.2</v>
      </c>
      <c r="Q83" s="23">
        <v>-11.03</v>
      </c>
      <c r="R83" s="26">
        <v>1</v>
      </c>
      <c r="T83" s="33">
        <f t="shared" si="6"/>
        <v>1.0551601993022288</v>
      </c>
      <c r="X83" s="20">
        <v>-132.75910999999999</v>
      </c>
      <c r="Y83" s="20">
        <v>-150</v>
      </c>
      <c r="Z83" s="20">
        <v>-132.75910999999999</v>
      </c>
      <c r="AA83" s="26">
        <f t="shared" si="4"/>
        <v>-303.78599159999999</v>
      </c>
    </row>
    <row r="84" spans="1:28">
      <c r="A84" s="26">
        <v>81</v>
      </c>
      <c r="B84" s="10" t="s">
        <v>146</v>
      </c>
      <c r="C84" s="10">
        <v>2016</v>
      </c>
      <c r="E84" s="10" t="s">
        <v>148</v>
      </c>
      <c r="F84" s="23">
        <v>64.87</v>
      </c>
      <c r="G84" s="23">
        <v>-147.9</v>
      </c>
      <c r="H84" s="10" t="s">
        <v>16</v>
      </c>
      <c r="I84" s="10" t="s">
        <v>30</v>
      </c>
      <c r="J84" s="10" t="s">
        <v>241</v>
      </c>
      <c r="K84" s="10" t="s">
        <v>19</v>
      </c>
      <c r="L84" s="26">
        <v>1</v>
      </c>
      <c r="M84" s="23">
        <v>-88.76</v>
      </c>
      <c r="O84" s="20">
        <v>-312.5</v>
      </c>
      <c r="Q84" s="23">
        <v>-19.82</v>
      </c>
      <c r="R84" s="26">
        <v>1</v>
      </c>
      <c r="T84" s="33">
        <f t="shared" si="6"/>
        <v>1.0756551512225099</v>
      </c>
      <c r="X84" s="20">
        <v>-132.75910999999999</v>
      </c>
      <c r="Y84" s="20">
        <v>-150</v>
      </c>
      <c r="Z84" s="20">
        <v>-132.75910999999999</v>
      </c>
      <c r="AA84" s="26">
        <f t="shared" si="4"/>
        <v>-254.0859916</v>
      </c>
    </row>
    <row r="85" spans="1:28">
      <c r="A85" s="26">
        <v>82</v>
      </c>
      <c r="B85" s="10" t="s">
        <v>146</v>
      </c>
      <c r="C85" s="10">
        <v>2016</v>
      </c>
      <c r="E85" s="10" t="s">
        <v>149</v>
      </c>
      <c r="F85" s="23">
        <v>64.900000000000006</v>
      </c>
      <c r="G85" s="23">
        <v>-147.91</v>
      </c>
      <c r="H85" s="10" t="s">
        <v>16</v>
      </c>
      <c r="I85" s="10" t="s">
        <v>30</v>
      </c>
      <c r="J85" s="10" t="s">
        <v>241</v>
      </c>
      <c r="K85" s="10" t="s">
        <v>19</v>
      </c>
      <c r="L85" s="26">
        <v>1</v>
      </c>
      <c r="M85" s="23">
        <v>-55.5</v>
      </c>
      <c r="O85" s="20">
        <v>-302.39999999999998</v>
      </c>
      <c r="Q85" s="23">
        <v>-4.0999999999999996</v>
      </c>
      <c r="R85" s="26">
        <v>1</v>
      </c>
      <c r="T85" s="33">
        <f t="shared" si="6"/>
        <v>1.0544203282159872</v>
      </c>
      <c r="X85" s="20">
        <v>-132.75910999999999</v>
      </c>
      <c r="Y85" s="20">
        <v>-150</v>
      </c>
      <c r="Z85" s="20">
        <v>-132.75910999999999</v>
      </c>
      <c r="AA85" s="26">
        <f t="shared" si="4"/>
        <v>-243.98599159999998</v>
      </c>
    </row>
    <row r="86" spans="1:28">
      <c r="A86" s="26">
        <v>83</v>
      </c>
      <c r="B86" s="10" t="s">
        <v>146</v>
      </c>
      <c r="C86" s="10">
        <v>2016</v>
      </c>
      <c r="E86" s="10" t="s">
        <v>150</v>
      </c>
      <c r="F86" s="23">
        <v>64.92</v>
      </c>
      <c r="G86" s="23">
        <v>-147.85</v>
      </c>
      <c r="H86" s="10" t="s">
        <v>16</v>
      </c>
      <c r="I86" s="10" t="s">
        <v>30</v>
      </c>
      <c r="J86" s="10" t="s">
        <v>241</v>
      </c>
      <c r="K86" s="10" t="s">
        <v>19</v>
      </c>
      <c r="L86" s="26">
        <v>3</v>
      </c>
      <c r="M86" s="23">
        <f>AVERAGE(-77.59,-64.34,-61.89)</f>
        <v>-67.94</v>
      </c>
      <c r="N86" s="27">
        <f>STDEV(-77.59,-64.34,-61.89)</f>
        <v>8.4464489579942157</v>
      </c>
      <c r="O86" s="20">
        <v>-339.4</v>
      </c>
      <c r="P86" s="20">
        <f>25.9</f>
        <v>25.9</v>
      </c>
      <c r="Q86" s="23">
        <f>AVERAGE(-19.22,-17.28,-24.12)</f>
        <v>-20.206666666666667</v>
      </c>
      <c r="R86" s="26">
        <v>3</v>
      </c>
      <c r="S86" s="23">
        <v>3.5</v>
      </c>
      <c r="T86" s="33">
        <f t="shared" si="6"/>
        <v>1.0512127259332376</v>
      </c>
      <c r="U86" s="20">
        <v>-134</v>
      </c>
      <c r="V86" s="26">
        <v>1</v>
      </c>
      <c r="X86" s="20">
        <v>-135.57717</v>
      </c>
      <c r="Y86" s="20">
        <v>-150</v>
      </c>
      <c r="Z86" s="20">
        <v>-134</v>
      </c>
      <c r="AA86" s="26">
        <f t="shared" si="4"/>
        <v>-280.44</v>
      </c>
      <c r="AB86" s="26">
        <f t="shared" ref="AB86:AB96" si="7">O86-(U86*0.5)</f>
        <v>-272.39999999999998</v>
      </c>
    </row>
    <row r="87" spans="1:28">
      <c r="A87" s="26">
        <v>84</v>
      </c>
      <c r="B87" s="10" t="s">
        <v>122</v>
      </c>
      <c r="C87" s="10">
        <v>2006</v>
      </c>
      <c r="E87" s="10" t="s">
        <v>151</v>
      </c>
      <c r="F87" s="23">
        <v>66.09</v>
      </c>
      <c r="G87" s="23">
        <v>-150</v>
      </c>
      <c r="H87" s="12" t="s">
        <v>34</v>
      </c>
      <c r="I87" s="10" t="s">
        <v>78</v>
      </c>
      <c r="J87" s="10" t="s">
        <v>96</v>
      </c>
      <c r="K87" s="10" t="s">
        <v>19</v>
      </c>
      <c r="L87" s="26">
        <v>1</v>
      </c>
      <c r="M87" s="23">
        <v>-62.8</v>
      </c>
      <c r="O87" s="20">
        <v>-384.1</v>
      </c>
      <c r="Q87" s="23">
        <v>-0.2</v>
      </c>
      <c r="R87" s="26">
        <v>1</v>
      </c>
      <c r="T87" s="33">
        <f t="shared" si="6"/>
        <v>1.0667947076397779</v>
      </c>
      <c r="U87" s="20">
        <v>-154.19999999999999</v>
      </c>
      <c r="V87" s="26">
        <v>1</v>
      </c>
      <c r="X87" s="20">
        <v>-139.50205</v>
      </c>
      <c r="Y87" s="20">
        <v>-158</v>
      </c>
      <c r="Z87" s="20">
        <v>-154.19999999999999</v>
      </c>
      <c r="AA87" s="26">
        <f t="shared" si="4"/>
        <v>-316.25200000000001</v>
      </c>
      <c r="AB87" s="26">
        <f t="shared" si="7"/>
        <v>-307</v>
      </c>
    </row>
    <row r="88" spans="1:28">
      <c r="A88" s="26">
        <v>85</v>
      </c>
      <c r="B88" s="10" t="s">
        <v>122</v>
      </c>
      <c r="C88" s="10">
        <v>2006</v>
      </c>
      <c r="E88" s="10" t="s">
        <v>152</v>
      </c>
      <c r="F88" s="23">
        <v>66.09</v>
      </c>
      <c r="G88" s="23">
        <v>-150</v>
      </c>
      <c r="H88" s="12" t="s">
        <v>34</v>
      </c>
      <c r="I88" s="10" t="s">
        <v>107</v>
      </c>
      <c r="J88" s="10" t="s">
        <v>96</v>
      </c>
      <c r="K88" s="10" t="s">
        <v>19</v>
      </c>
      <c r="L88" s="26">
        <v>1</v>
      </c>
      <c r="M88" s="23">
        <v>-65.5</v>
      </c>
      <c r="O88" s="20">
        <v>-392.7</v>
      </c>
      <c r="Q88" s="23">
        <v>2.1</v>
      </c>
      <c r="R88" s="26">
        <v>1</v>
      </c>
      <c r="T88" s="33">
        <f t="shared" si="6"/>
        <v>1.0723381487426431</v>
      </c>
      <c r="U88" s="20">
        <v>-158.80000000000001</v>
      </c>
      <c r="V88" s="26">
        <v>1</v>
      </c>
      <c r="X88" s="20">
        <v>-139.50205</v>
      </c>
      <c r="Y88" s="20">
        <v>-158</v>
      </c>
      <c r="Z88" s="20">
        <v>-158.80000000000001</v>
      </c>
      <c r="AA88" s="26">
        <f t="shared" si="4"/>
        <v>-322.82799999999997</v>
      </c>
      <c r="AB88" s="26">
        <f t="shared" si="7"/>
        <v>-313.29999999999995</v>
      </c>
    </row>
    <row r="89" spans="1:28">
      <c r="A89" s="26">
        <v>86</v>
      </c>
      <c r="B89" s="10" t="s">
        <v>135</v>
      </c>
      <c r="C89" s="10">
        <v>2012</v>
      </c>
      <c r="E89" s="10" t="s">
        <v>153</v>
      </c>
      <c r="F89" s="23">
        <v>66.55</v>
      </c>
      <c r="G89" s="23">
        <v>-164.45</v>
      </c>
      <c r="H89" s="10" t="s">
        <v>16</v>
      </c>
      <c r="I89" s="10" t="s">
        <v>30</v>
      </c>
      <c r="J89" s="10" t="s">
        <v>22</v>
      </c>
      <c r="K89" s="10" t="s">
        <v>19</v>
      </c>
      <c r="L89" s="26">
        <v>6</v>
      </c>
      <c r="M89" s="23">
        <v>-65.8</v>
      </c>
      <c r="N89" s="27">
        <v>5.3</v>
      </c>
      <c r="O89" s="20">
        <v>-325</v>
      </c>
      <c r="P89" s="20">
        <v>25</v>
      </c>
      <c r="Q89" s="23">
        <v>-8.3000000000000007</v>
      </c>
      <c r="R89" s="26">
        <v>1</v>
      </c>
      <c r="T89" s="33">
        <f t="shared" si="6"/>
        <v>1.0615499892956541</v>
      </c>
      <c r="U89" s="20">
        <v>-79</v>
      </c>
      <c r="V89" s="26">
        <v>1</v>
      </c>
      <c r="X89" s="20">
        <v>-94.743510000000001</v>
      </c>
      <c r="Y89" s="20">
        <v>-124</v>
      </c>
      <c r="Z89" s="20">
        <v>-79</v>
      </c>
      <c r="AA89" s="26">
        <f t="shared" si="4"/>
        <v>-290.24</v>
      </c>
      <c r="AB89" s="26">
        <f t="shared" si="7"/>
        <v>-285.5</v>
      </c>
    </row>
    <row r="90" spans="1:28">
      <c r="A90" s="26">
        <v>87</v>
      </c>
      <c r="B90" s="10" t="s">
        <v>135</v>
      </c>
      <c r="C90" s="10">
        <v>2012</v>
      </c>
      <c r="E90" s="10" t="s">
        <v>154</v>
      </c>
      <c r="F90" s="23">
        <v>66.55</v>
      </c>
      <c r="G90" s="23">
        <v>-164.45</v>
      </c>
      <c r="H90" s="10" t="s">
        <v>16</v>
      </c>
      <c r="I90" s="10" t="s">
        <v>30</v>
      </c>
      <c r="J90" s="10" t="s">
        <v>22</v>
      </c>
      <c r="K90" s="10" t="s">
        <v>19</v>
      </c>
      <c r="L90" s="26">
        <v>5</v>
      </c>
      <c r="M90" s="23">
        <v>-65.900000000000006</v>
      </c>
      <c r="N90" s="27">
        <v>2.2000000000000002</v>
      </c>
      <c r="O90" s="20">
        <v>-328</v>
      </c>
      <c r="P90" s="20">
        <v>14</v>
      </c>
      <c r="Q90" s="23">
        <v>-8</v>
      </c>
      <c r="R90" s="26">
        <v>1</v>
      </c>
      <c r="T90" s="33">
        <f t="shared" si="6"/>
        <v>1.0619847982014774</v>
      </c>
      <c r="U90" s="20">
        <v>-106</v>
      </c>
      <c r="V90" s="26">
        <v>1</v>
      </c>
      <c r="W90" s="20">
        <v>1</v>
      </c>
      <c r="X90" s="20">
        <v>-94.743510000000001</v>
      </c>
      <c r="Y90" s="20">
        <v>-124</v>
      </c>
      <c r="Z90" s="20">
        <v>-106</v>
      </c>
      <c r="AA90" s="26">
        <f t="shared" si="4"/>
        <v>-281.36</v>
      </c>
      <c r="AB90" s="26">
        <f t="shared" si="7"/>
        <v>-275</v>
      </c>
    </row>
    <row r="91" spans="1:28">
      <c r="A91" s="26">
        <v>88</v>
      </c>
      <c r="B91" s="10" t="s">
        <v>135</v>
      </c>
      <c r="C91" s="10">
        <v>2012</v>
      </c>
      <c r="E91" s="10" t="s">
        <v>155</v>
      </c>
      <c r="F91" s="23">
        <v>66.55</v>
      </c>
      <c r="G91" s="23">
        <v>-164.45</v>
      </c>
      <c r="H91" s="10" t="s">
        <v>16</v>
      </c>
      <c r="I91" s="10" t="s">
        <v>30</v>
      </c>
      <c r="J91" s="10" t="s">
        <v>22</v>
      </c>
      <c r="K91" s="10" t="s">
        <v>19</v>
      </c>
      <c r="L91" s="26">
        <v>19</v>
      </c>
      <c r="M91" s="23">
        <v>-68.3</v>
      </c>
      <c r="N91" s="27">
        <v>4.3</v>
      </c>
      <c r="O91" s="20">
        <v>-351</v>
      </c>
      <c r="P91" s="20">
        <v>6</v>
      </c>
      <c r="Q91" s="23">
        <v>-8.8000000000000007</v>
      </c>
      <c r="R91" s="26">
        <v>1</v>
      </c>
      <c r="T91" s="33">
        <f t="shared" si="6"/>
        <v>1.0638617580766341</v>
      </c>
      <c r="U91" s="20">
        <v>-97</v>
      </c>
      <c r="V91" s="26">
        <v>1</v>
      </c>
      <c r="W91" s="20">
        <v>1</v>
      </c>
      <c r="X91" s="20">
        <v>-94.743510000000001</v>
      </c>
      <c r="Y91" s="20">
        <v>-124</v>
      </c>
      <c r="Z91" s="20">
        <v>-97</v>
      </c>
      <c r="AA91" s="26">
        <f t="shared" si="4"/>
        <v>-308.32</v>
      </c>
      <c r="AB91" s="26">
        <f t="shared" si="7"/>
        <v>-302.5</v>
      </c>
    </row>
    <row r="92" spans="1:28">
      <c r="A92" s="26">
        <v>89</v>
      </c>
      <c r="B92" s="10" t="s">
        <v>135</v>
      </c>
      <c r="C92" s="10">
        <v>2012</v>
      </c>
      <c r="E92" s="10" t="s">
        <v>156</v>
      </c>
      <c r="F92" s="23">
        <v>66.55</v>
      </c>
      <c r="G92" s="23">
        <v>-164.45</v>
      </c>
      <c r="H92" s="10" t="s">
        <v>16</v>
      </c>
      <c r="I92" s="10" t="s">
        <v>30</v>
      </c>
      <c r="J92" s="10" t="s">
        <v>22</v>
      </c>
      <c r="K92" s="10" t="s">
        <v>19</v>
      </c>
      <c r="L92" s="26">
        <v>1</v>
      </c>
      <c r="M92" s="23">
        <v>-73.900000000000006</v>
      </c>
      <c r="O92" s="20">
        <v>-366</v>
      </c>
      <c r="Q92" s="23">
        <v>-12.6</v>
      </c>
      <c r="T92" s="33">
        <f t="shared" si="6"/>
        <v>1.0661915559874744</v>
      </c>
      <c r="U92" s="20">
        <v>-108</v>
      </c>
      <c r="V92" s="26">
        <v>1</v>
      </c>
      <c r="X92" s="20">
        <v>-94.743510000000001</v>
      </c>
      <c r="Y92" s="20">
        <v>-124</v>
      </c>
      <c r="Z92" s="20">
        <v>-108</v>
      </c>
      <c r="AA92" s="26">
        <f t="shared" si="4"/>
        <v>-318.48</v>
      </c>
      <c r="AB92" s="26">
        <f t="shared" si="7"/>
        <v>-312</v>
      </c>
    </row>
    <row r="93" spans="1:28">
      <c r="A93" s="26">
        <v>90</v>
      </c>
      <c r="B93" s="10" t="s">
        <v>135</v>
      </c>
      <c r="C93" s="10">
        <v>2012</v>
      </c>
      <c r="E93" s="10" t="s">
        <v>157</v>
      </c>
      <c r="F93" s="23">
        <v>66.55</v>
      </c>
      <c r="G93" s="23">
        <v>-164.45</v>
      </c>
      <c r="H93" s="10" t="s">
        <v>16</v>
      </c>
      <c r="I93" s="10" t="s">
        <v>30</v>
      </c>
      <c r="J93" s="10" t="s">
        <v>22</v>
      </c>
      <c r="K93" s="10" t="s">
        <v>19</v>
      </c>
      <c r="L93" s="26">
        <v>5</v>
      </c>
      <c r="M93" s="23">
        <v>-67.400000000000006</v>
      </c>
      <c r="N93" s="27">
        <v>2.7</v>
      </c>
      <c r="O93" s="20">
        <v>-352</v>
      </c>
      <c r="P93" s="20">
        <v>11</v>
      </c>
      <c r="Q93" s="23">
        <v>-5.0999999999999996</v>
      </c>
      <c r="T93" s="33">
        <f t="shared" si="6"/>
        <v>1.0668024876688826</v>
      </c>
      <c r="U93" s="20">
        <v>-93</v>
      </c>
      <c r="V93" s="26">
        <v>1</v>
      </c>
      <c r="W93" s="20">
        <v>2</v>
      </c>
      <c r="X93" s="20">
        <v>-94.743510000000001</v>
      </c>
      <c r="Y93" s="20">
        <v>-124</v>
      </c>
      <c r="Z93" s="20">
        <v>-93</v>
      </c>
      <c r="AA93" s="26">
        <f t="shared" si="4"/>
        <v>-311.08</v>
      </c>
      <c r="AB93" s="26">
        <f t="shared" si="7"/>
        <v>-305.5</v>
      </c>
    </row>
    <row r="94" spans="1:28">
      <c r="A94" s="26">
        <v>91</v>
      </c>
      <c r="B94" s="10" t="s">
        <v>135</v>
      </c>
      <c r="C94" s="10">
        <v>2012</v>
      </c>
      <c r="E94" s="10" t="s">
        <v>158</v>
      </c>
      <c r="F94" s="23">
        <v>66.55</v>
      </c>
      <c r="G94" s="23">
        <v>-164.45</v>
      </c>
      <c r="H94" s="10" t="s">
        <v>16</v>
      </c>
      <c r="I94" s="10" t="s">
        <v>30</v>
      </c>
      <c r="J94" s="10" t="s">
        <v>22</v>
      </c>
      <c r="K94" s="10" t="s">
        <v>19</v>
      </c>
      <c r="L94" s="26">
        <v>1</v>
      </c>
      <c r="M94" s="23">
        <v>-70.599999999999994</v>
      </c>
      <c r="N94" s="27">
        <v>5</v>
      </c>
      <c r="O94" s="20">
        <v>-323</v>
      </c>
      <c r="P94" s="20">
        <v>27</v>
      </c>
      <c r="Q94" s="23">
        <v>-6.5</v>
      </c>
      <c r="T94" s="33">
        <f t="shared" si="6"/>
        <v>1.0689692274585754</v>
      </c>
      <c r="U94" s="20">
        <v>-87</v>
      </c>
      <c r="V94" s="26">
        <v>1</v>
      </c>
      <c r="X94" s="20">
        <v>-94.743510000000001</v>
      </c>
      <c r="Y94" s="20">
        <v>-124</v>
      </c>
      <c r="Z94" s="20">
        <v>-87</v>
      </c>
      <c r="AA94" s="26">
        <f t="shared" si="4"/>
        <v>-284.72000000000003</v>
      </c>
      <c r="AB94" s="26">
        <f t="shared" si="7"/>
        <v>-279.5</v>
      </c>
    </row>
    <row r="95" spans="1:28">
      <c r="A95" s="26">
        <v>92</v>
      </c>
      <c r="B95" s="13" t="s">
        <v>159</v>
      </c>
      <c r="C95" s="10">
        <v>2016</v>
      </c>
      <c r="E95" s="10" t="s">
        <v>160</v>
      </c>
      <c r="F95" s="23">
        <v>67.08</v>
      </c>
      <c r="G95" s="23">
        <v>-50.37</v>
      </c>
      <c r="H95" s="10" t="s">
        <v>16</v>
      </c>
      <c r="I95" s="10" t="s">
        <v>30</v>
      </c>
      <c r="J95" s="10" t="s">
        <v>242</v>
      </c>
      <c r="K95" s="10" t="s">
        <v>46</v>
      </c>
      <c r="L95" s="26">
        <v>18</v>
      </c>
      <c r="M95" s="23">
        <v>-63.6</v>
      </c>
      <c r="N95" s="27">
        <v>10.7</v>
      </c>
      <c r="O95" s="20">
        <v>-328.36</v>
      </c>
      <c r="P95" s="20">
        <v>60.6</v>
      </c>
      <c r="U95" s="20">
        <v>-91</v>
      </c>
      <c r="V95" s="26">
        <v>1</v>
      </c>
      <c r="X95" s="20">
        <v>-123.67992</v>
      </c>
      <c r="Y95" s="20">
        <v>-142</v>
      </c>
      <c r="Z95" s="20">
        <v>-91</v>
      </c>
      <c r="AA95" s="26">
        <f t="shared" si="4"/>
        <v>-288.32</v>
      </c>
      <c r="AB95" s="26">
        <f t="shared" si="7"/>
        <v>-282.86</v>
      </c>
    </row>
    <row r="96" spans="1:28">
      <c r="A96" s="26">
        <v>93</v>
      </c>
      <c r="B96" s="13" t="s">
        <v>159</v>
      </c>
      <c r="C96" s="10">
        <v>2016</v>
      </c>
      <c r="E96" s="10" t="s">
        <v>161</v>
      </c>
      <c r="F96" s="23">
        <v>67.08</v>
      </c>
      <c r="G96" s="23">
        <v>-50.37</v>
      </c>
      <c r="H96" s="10" t="s">
        <v>16</v>
      </c>
      <c r="I96" s="10" t="s">
        <v>30</v>
      </c>
      <c r="J96" s="10" t="s">
        <v>242</v>
      </c>
      <c r="K96" s="10" t="s">
        <v>46</v>
      </c>
      <c r="L96" s="26">
        <v>16</v>
      </c>
      <c r="M96" s="23">
        <v>-59.27</v>
      </c>
      <c r="N96" s="27">
        <v>8.75</v>
      </c>
      <c r="O96" s="20">
        <v>-311.63</v>
      </c>
      <c r="P96" s="20">
        <v>55.93</v>
      </c>
      <c r="U96" s="20">
        <v>-98</v>
      </c>
      <c r="V96" s="26">
        <v>1</v>
      </c>
      <c r="X96" s="20">
        <v>-123.67992</v>
      </c>
      <c r="Y96" s="20">
        <v>-142</v>
      </c>
      <c r="Z96" s="20">
        <v>-98</v>
      </c>
      <c r="AA96" s="26">
        <f t="shared" si="4"/>
        <v>-268.51</v>
      </c>
      <c r="AB96" s="26">
        <f t="shared" si="7"/>
        <v>-262.63</v>
      </c>
    </row>
    <row r="97" spans="1:28">
      <c r="A97" s="26">
        <v>94</v>
      </c>
      <c r="B97" s="13" t="s">
        <v>159</v>
      </c>
      <c r="C97" s="10">
        <v>2016</v>
      </c>
      <c r="E97" s="10" t="s">
        <v>162</v>
      </c>
      <c r="F97" s="23">
        <v>67.08</v>
      </c>
      <c r="G97" s="23">
        <v>-50.37</v>
      </c>
      <c r="H97" s="10" t="s">
        <v>16</v>
      </c>
      <c r="I97" s="10" t="s">
        <v>30</v>
      </c>
      <c r="J97" s="10" t="s">
        <v>242</v>
      </c>
      <c r="K97" s="10" t="s">
        <v>46</v>
      </c>
      <c r="L97" s="26">
        <v>13</v>
      </c>
      <c r="M97" s="23">
        <v>-51.83</v>
      </c>
      <c r="N97" s="27">
        <v>11.22</v>
      </c>
      <c r="O97" s="20">
        <v>-287.13</v>
      </c>
      <c r="P97" s="20">
        <v>77.8</v>
      </c>
      <c r="X97" s="20">
        <v>-123.67992</v>
      </c>
      <c r="Y97" s="20">
        <v>-142</v>
      </c>
      <c r="Z97" s="20">
        <v>-123.67992</v>
      </c>
      <c r="AA97" s="26">
        <f t="shared" si="4"/>
        <v>-232.71083519999999</v>
      </c>
    </row>
    <row r="98" spans="1:28">
      <c r="A98" s="26">
        <v>95</v>
      </c>
      <c r="B98" s="10" t="s">
        <v>163</v>
      </c>
      <c r="C98" s="10">
        <v>2016</v>
      </c>
      <c r="E98" s="10" t="s">
        <v>164</v>
      </c>
      <c r="F98" s="23">
        <v>67.09</v>
      </c>
      <c r="G98" s="24">
        <v>-50.29</v>
      </c>
      <c r="H98" s="10" t="s">
        <v>16</v>
      </c>
      <c r="I98" s="10" t="s">
        <v>30</v>
      </c>
      <c r="J98" s="10" t="s">
        <v>229</v>
      </c>
      <c r="K98" s="10" t="s">
        <v>46</v>
      </c>
      <c r="L98" s="26">
        <v>18</v>
      </c>
      <c r="M98" s="23">
        <v>-62.6</v>
      </c>
      <c r="N98" s="35">
        <v>4.9768999999999997</v>
      </c>
      <c r="O98" s="20">
        <v>-300.10000000000002</v>
      </c>
      <c r="P98" s="30">
        <v>23.412500000000001</v>
      </c>
      <c r="R98" s="23"/>
      <c r="X98" s="22">
        <v>-127.22806</v>
      </c>
      <c r="Y98" s="20">
        <v>-143</v>
      </c>
      <c r="Z98" s="20">
        <v>-127.22806</v>
      </c>
      <c r="AA98" s="26">
        <f t="shared" si="4"/>
        <v>-244.11965360000002</v>
      </c>
    </row>
    <row r="99" spans="1:28">
      <c r="A99" s="26">
        <v>96</v>
      </c>
      <c r="B99" s="10" t="s">
        <v>146</v>
      </c>
      <c r="C99" s="10">
        <v>2016</v>
      </c>
      <c r="E99" s="10" t="s">
        <v>166</v>
      </c>
      <c r="F99" s="23">
        <v>68.349999999999994</v>
      </c>
      <c r="G99" s="23">
        <v>19.04</v>
      </c>
      <c r="H99" s="10" t="s">
        <v>16</v>
      </c>
      <c r="I99" s="10" t="s">
        <v>30</v>
      </c>
      <c r="J99" s="10" t="s">
        <v>241</v>
      </c>
      <c r="K99" s="10" t="s">
        <v>19</v>
      </c>
      <c r="L99" s="26">
        <v>3</v>
      </c>
      <c r="M99" s="23">
        <f>AVERAGE(-65.49,-66.6,-62.32)</f>
        <v>-64.803333333333327</v>
      </c>
      <c r="N99" s="27">
        <f>STDEV(-65.49,-66.6,-62.32)</f>
        <v>2.2210883218218314</v>
      </c>
      <c r="O99" s="20">
        <v>-309.45999999999998</v>
      </c>
      <c r="P99" s="20">
        <v>7.7</v>
      </c>
      <c r="U99" s="20">
        <v>-70</v>
      </c>
      <c r="V99" s="26">
        <v>15</v>
      </c>
      <c r="W99" s="20">
        <v>1</v>
      </c>
      <c r="X99" s="20">
        <v>-88.638710000000003</v>
      </c>
      <c r="Y99" s="20">
        <v>-103</v>
      </c>
      <c r="Z99" s="20">
        <v>-70</v>
      </c>
      <c r="AA99" s="26">
        <f t="shared" si="4"/>
        <v>-278.65999999999997</v>
      </c>
      <c r="AB99" s="26">
        <f>O99-(U99*0.5)</f>
        <v>-274.45999999999998</v>
      </c>
    </row>
    <row r="100" spans="1:28">
      <c r="A100" s="26">
        <v>97</v>
      </c>
      <c r="B100" s="10" t="s">
        <v>146</v>
      </c>
      <c r="C100" s="10">
        <v>2016</v>
      </c>
      <c r="E100" s="10" t="s">
        <v>167</v>
      </c>
      <c r="F100" s="23">
        <v>68.36</v>
      </c>
      <c r="G100" s="23">
        <v>19.04</v>
      </c>
      <c r="H100" s="10" t="s">
        <v>16</v>
      </c>
      <c r="I100" s="10" t="s">
        <v>30</v>
      </c>
      <c r="J100" s="10" t="s">
        <v>241</v>
      </c>
      <c r="K100" s="10" t="s">
        <v>19</v>
      </c>
      <c r="L100" s="26">
        <v>3</v>
      </c>
      <c r="M100" s="23">
        <f>AVERAGE(-68.04,-77.61,-68.28)</f>
        <v>-71.31</v>
      </c>
      <c r="N100" s="27">
        <f>STDEV(-68.04,-77.61,-68.28)</f>
        <v>5.457279542042901</v>
      </c>
      <c r="O100" s="20">
        <v>-302.58999999999997</v>
      </c>
      <c r="P100" s="20">
        <v>14.4</v>
      </c>
      <c r="X100" s="20">
        <v>-88.638710000000003</v>
      </c>
      <c r="Y100" s="20">
        <v>-103</v>
      </c>
      <c r="Z100" s="20">
        <v>-88.638710000000003</v>
      </c>
      <c r="AA100" s="26">
        <f t="shared" ref="AA100:AA131" si="8">O100-(Z100*0.44)</f>
        <v>-263.58896759999999</v>
      </c>
    </row>
    <row r="101" spans="1:28">
      <c r="A101" s="26">
        <v>98</v>
      </c>
      <c r="B101" s="10" t="s">
        <v>146</v>
      </c>
      <c r="C101" s="10">
        <v>2016</v>
      </c>
      <c r="E101" s="10" t="s">
        <v>168</v>
      </c>
      <c r="F101" s="23">
        <v>68.36</v>
      </c>
      <c r="G101" s="23">
        <v>19.04</v>
      </c>
      <c r="H101" s="10" t="s">
        <v>16</v>
      </c>
      <c r="I101" s="10" t="s">
        <v>30</v>
      </c>
      <c r="J101" s="10" t="s">
        <v>241</v>
      </c>
      <c r="K101" s="10" t="s">
        <v>19</v>
      </c>
      <c r="L101" s="26">
        <v>3</v>
      </c>
      <c r="M101" s="23">
        <f>AVERAGE(-71.03,-68.01,-68.01)</f>
        <v>-69.016666666666666</v>
      </c>
      <c r="N101" s="27">
        <f>STDEV(-71.03,-68.01,-68.01)</f>
        <v>1.7435978129526675</v>
      </c>
      <c r="O101" s="20">
        <v>-287.83999999999997</v>
      </c>
      <c r="P101" s="20">
        <v>5.5</v>
      </c>
      <c r="U101" s="20">
        <v>-94</v>
      </c>
      <c r="V101" s="26">
        <v>10</v>
      </c>
      <c r="W101" s="20">
        <v>2</v>
      </c>
      <c r="X101" s="20">
        <v>-88.638710000000003</v>
      </c>
      <c r="Y101" s="20">
        <v>-103</v>
      </c>
      <c r="Z101" s="20">
        <v>-94</v>
      </c>
      <c r="AA101" s="26">
        <f t="shared" si="8"/>
        <v>-246.47999999999996</v>
      </c>
      <c r="AB101" s="26">
        <f>O101-(U101*0.5)</f>
        <v>-240.83999999999997</v>
      </c>
    </row>
    <row r="102" spans="1:28">
      <c r="A102" s="26">
        <v>99</v>
      </c>
      <c r="B102" s="10" t="s">
        <v>141</v>
      </c>
      <c r="C102" s="10">
        <v>2008</v>
      </c>
      <c r="E102" s="10" t="s">
        <v>169</v>
      </c>
      <c r="F102" s="23">
        <v>68.47</v>
      </c>
      <c r="G102" s="24">
        <v>-149.57</v>
      </c>
      <c r="H102" s="10" t="s">
        <v>16</v>
      </c>
      <c r="I102" s="10" t="s">
        <v>30</v>
      </c>
      <c r="J102" s="10" t="s">
        <v>170</v>
      </c>
      <c r="K102" s="10" t="s">
        <v>19</v>
      </c>
      <c r="L102" s="26">
        <v>1</v>
      </c>
      <c r="M102" s="23">
        <v>-73.5</v>
      </c>
      <c r="N102" s="35"/>
      <c r="O102" s="20">
        <v>-329</v>
      </c>
      <c r="P102" s="30"/>
      <c r="Q102" s="34"/>
      <c r="R102" s="31"/>
      <c r="S102" s="34"/>
      <c r="T102" s="36"/>
      <c r="X102" s="22">
        <v>-115.45484</v>
      </c>
      <c r="Y102" s="20">
        <v>-154</v>
      </c>
      <c r="Z102" s="20">
        <v>-115.45484</v>
      </c>
      <c r="AA102" s="26">
        <f t="shared" si="8"/>
        <v>-278.19987040000001</v>
      </c>
    </row>
    <row r="103" spans="1:28">
      <c r="A103" s="26">
        <v>100</v>
      </c>
      <c r="B103" s="10" t="s">
        <v>141</v>
      </c>
      <c r="C103" s="10">
        <v>2008</v>
      </c>
      <c r="E103" s="10" t="s">
        <v>171</v>
      </c>
      <c r="F103" s="23">
        <v>68.47</v>
      </c>
      <c r="G103" s="24">
        <v>-149.57</v>
      </c>
      <c r="H103" s="10" t="s">
        <v>16</v>
      </c>
      <c r="I103" s="10" t="s">
        <v>30</v>
      </c>
      <c r="J103" s="10" t="s">
        <v>170</v>
      </c>
      <c r="K103" s="10" t="s">
        <v>19</v>
      </c>
      <c r="L103" s="26">
        <v>1</v>
      </c>
      <c r="M103" s="23">
        <v>-67.599999999999994</v>
      </c>
      <c r="N103" s="35"/>
      <c r="O103" s="20">
        <v>-330</v>
      </c>
      <c r="P103" s="30"/>
      <c r="Q103" s="34"/>
      <c r="R103" s="31"/>
      <c r="S103" s="34"/>
      <c r="T103" s="36"/>
      <c r="X103" s="22">
        <v>-115.45484</v>
      </c>
      <c r="Y103" s="20">
        <v>-154</v>
      </c>
      <c r="Z103" s="20">
        <v>-115.45484</v>
      </c>
      <c r="AA103" s="26">
        <f t="shared" si="8"/>
        <v>-279.19987040000001</v>
      </c>
    </row>
    <row r="104" spans="1:28">
      <c r="A104" s="26">
        <v>101</v>
      </c>
      <c r="B104" s="10" t="s">
        <v>141</v>
      </c>
      <c r="C104" s="10">
        <v>2008</v>
      </c>
      <c r="E104" s="10" t="s">
        <v>172</v>
      </c>
      <c r="F104" s="23">
        <v>68.47</v>
      </c>
      <c r="G104" s="24">
        <v>-149.57</v>
      </c>
      <c r="H104" s="10" t="s">
        <v>16</v>
      </c>
      <c r="I104" s="10" t="s">
        <v>30</v>
      </c>
      <c r="J104" s="10" t="s">
        <v>170</v>
      </c>
      <c r="K104" s="10" t="s">
        <v>19</v>
      </c>
      <c r="L104" s="26">
        <v>1</v>
      </c>
      <c r="M104" s="23">
        <v>-75.2</v>
      </c>
      <c r="N104" s="35"/>
      <c r="O104" s="20">
        <v>-328</v>
      </c>
      <c r="P104" s="30"/>
      <c r="Q104" s="34"/>
      <c r="R104" s="31"/>
      <c r="S104" s="34"/>
      <c r="T104" s="36"/>
      <c r="X104" s="22">
        <v>-115.45484</v>
      </c>
      <c r="Y104" s="20">
        <v>-154</v>
      </c>
      <c r="Z104" s="20">
        <v>-115.45484</v>
      </c>
      <c r="AA104" s="26">
        <f t="shared" si="8"/>
        <v>-277.19987040000001</v>
      </c>
    </row>
    <row r="105" spans="1:28">
      <c r="A105" s="26">
        <v>102</v>
      </c>
      <c r="B105" s="10" t="s">
        <v>141</v>
      </c>
      <c r="C105" s="10">
        <v>2008</v>
      </c>
      <c r="E105" s="10" t="s">
        <v>173</v>
      </c>
      <c r="F105" s="23">
        <v>68.47</v>
      </c>
      <c r="G105" s="24">
        <v>-149.57</v>
      </c>
      <c r="H105" s="10" t="s">
        <v>16</v>
      </c>
      <c r="I105" s="10" t="s">
        <v>30</v>
      </c>
      <c r="J105" s="10" t="s">
        <v>170</v>
      </c>
      <c r="K105" s="10" t="s">
        <v>19</v>
      </c>
      <c r="L105" s="26">
        <v>1</v>
      </c>
      <c r="M105" s="23">
        <v>-72.2</v>
      </c>
      <c r="N105" s="35"/>
      <c r="O105" s="20">
        <v>-323</v>
      </c>
      <c r="P105" s="30"/>
      <c r="Q105" s="34"/>
      <c r="R105" s="31"/>
      <c r="S105" s="34"/>
      <c r="T105" s="36"/>
      <c r="X105" s="22">
        <v>-115.45484</v>
      </c>
      <c r="Y105" s="20">
        <v>-154</v>
      </c>
      <c r="Z105" s="20">
        <v>-115.45484</v>
      </c>
      <c r="AA105" s="26">
        <f t="shared" si="8"/>
        <v>-272.19987040000001</v>
      </c>
    </row>
    <row r="106" spans="1:28">
      <c r="A106" s="26">
        <v>103</v>
      </c>
      <c r="B106" s="10" t="s">
        <v>141</v>
      </c>
      <c r="C106" s="10">
        <v>2008</v>
      </c>
      <c r="E106" s="10" t="s">
        <v>174</v>
      </c>
      <c r="F106" s="23">
        <v>68.47</v>
      </c>
      <c r="G106" s="24">
        <v>-149.57</v>
      </c>
      <c r="H106" s="10" t="s">
        <v>16</v>
      </c>
      <c r="I106" s="10" t="s">
        <v>30</v>
      </c>
      <c r="J106" s="10" t="s">
        <v>170</v>
      </c>
      <c r="K106" s="10" t="s">
        <v>19</v>
      </c>
      <c r="L106" s="26">
        <v>1</v>
      </c>
      <c r="M106" s="23">
        <v>-73.8</v>
      </c>
      <c r="N106" s="35"/>
      <c r="O106" s="20">
        <v>-327</v>
      </c>
      <c r="P106" s="30"/>
      <c r="Q106" s="34"/>
      <c r="R106" s="31"/>
      <c r="S106" s="34"/>
      <c r="T106" s="36"/>
      <c r="X106" s="22">
        <v>-115.45484</v>
      </c>
      <c r="Y106" s="20">
        <v>-154</v>
      </c>
      <c r="Z106" s="20">
        <v>-115.45484</v>
      </c>
      <c r="AA106" s="26">
        <f t="shared" si="8"/>
        <v>-276.19987040000001</v>
      </c>
    </row>
    <row r="107" spans="1:28">
      <c r="A107" s="26">
        <v>104</v>
      </c>
      <c r="B107" s="10" t="s">
        <v>122</v>
      </c>
      <c r="C107" s="10">
        <v>2006</v>
      </c>
      <c r="E107" s="10" t="s">
        <v>175</v>
      </c>
      <c r="F107" s="23">
        <v>68.48</v>
      </c>
      <c r="G107" s="23">
        <v>-149.5</v>
      </c>
      <c r="H107" s="12" t="s">
        <v>34</v>
      </c>
      <c r="I107" s="10" t="s">
        <v>61</v>
      </c>
      <c r="J107" s="10" t="s">
        <v>96</v>
      </c>
      <c r="K107" s="10" t="s">
        <v>19</v>
      </c>
      <c r="L107" s="26">
        <v>2</v>
      </c>
      <c r="M107" s="23">
        <v>-64.75</v>
      </c>
      <c r="N107" s="27">
        <f>STDEV(-67.2,-62.9)</f>
        <v>3.0405591591021572</v>
      </c>
      <c r="O107" s="20">
        <f>AVERAGE(-371.7,-388.2)</f>
        <v>-379.95</v>
      </c>
      <c r="P107" s="20">
        <f>STDEV(-371.7,-388.2)</f>
        <v>11.667261889578034</v>
      </c>
      <c r="Q107" s="23">
        <f>AVERAGE(-5.9,-7.3)</f>
        <v>-6.6</v>
      </c>
      <c r="R107" s="26">
        <v>2</v>
      </c>
      <c r="S107" s="23">
        <f>STDEV(-7.3,-5.9)</f>
        <v>0.98994949366116858</v>
      </c>
      <c r="T107" s="33">
        <f>(Q107+1000)/(M107+1000)</f>
        <v>1.0621758887997861</v>
      </c>
      <c r="U107" s="20">
        <f>AVERAGE(-146.6,-145.1)</f>
        <v>-145.85</v>
      </c>
      <c r="V107" s="26">
        <v>2</v>
      </c>
      <c r="W107" s="20">
        <f>STDEV(-146.6,-145.1)</f>
        <v>1.0606601717798212</v>
      </c>
      <c r="X107" s="20">
        <v>-115.22672</v>
      </c>
      <c r="Y107" s="20">
        <v>-158</v>
      </c>
      <c r="Z107" s="20">
        <v>-145.85</v>
      </c>
      <c r="AA107" s="26">
        <f t="shared" si="8"/>
        <v>-315.77600000000001</v>
      </c>
      <c r="AB107" s="26">
        <f t="shared" ref="AB107:AB114" si="9">O107-(U107*0.5)</f>
        <v>-307.02499999999998</v>
      </c>
    </row>
    <row r="108" spans="1:28">
      <c r="A108" s="26">
        <v>105</v>
      </c>
      <c r="B108" s="10" t="s">
        <v>253</v>
      </c>
      <c r="C108" s="10">
        <v>1992</v>
      </c>
      <c r="D108" s="43" t="s">
        <v>252</v>
      </c>
      <c r="E108" s="10" t="s">
        <v>243</v>
      </c>
      <c r="F108" s="23">
        <v>68.5</v>
      </c>
      <c r="G108" s="23">
        <v>-149.19999999999999</v>
      </c>
      <c r="H108" s="10" t="s">
        <v>34</v>
      </c>
      <c r="I108" s="10" t="s">
        <v>78</v>
      </c>
      <c r="J108" s="10" t="s">
        <v>176</v>
      </c>
      <c r="K108" s="10" t="s">
        <v>19</v>
      </c>
      <c r="L108" s="26">
        <v>3</v>
      </c>
      <c r="M108" s="23">
        <v>-56.8</v>
      </c>
      <c r="N108" s="27">
        <v>0.7</v>
      </c>
      <c r="O108" s="20">
        <v>-411</v>
      </c>
      <c r="P108" s="20">
        <v>1</v>
      </c>
      <c r="Q108" s="23">
        <v>-16.95</v>
      </c>
      <c r="R108" s="26">
        <v>3</v>
      </c>
      <c r="S108" s="23">
        <v>1</v>
      </c>
      <c r="T108" s="33">
        <f>(Q108+1000)/(M108+1000)</f>
        <v>1.0422497879558947</v>
      </c>
      <c r="U108" s="20">
        <v>-130</v>
      </c>
      <c r="V108" s="26">
        <v>1</v>
      </c>
      <c r="X108" s="20">
        <v>-116.13616</v>
      </c>
      <c r="Y108" s="20">
        <v>-156</v>
      </c>
      <c r="Z108" s="20">
        <v>-130</v>
      </c>
      <c r="AA108" s="26">
        <f t="shared" si="8"/>
        <v>-353.8</v>
      </c>
      <c r="AB108" s="26">
        <f t="shared" si="9"/>
        <v>-346</v>
      </c>
    </row>
    <row r="109" spans="1:28">
      <c r="A109" s="26">
        <v>106</v>
      </c>
      <c r="B109" s="10" t="s">
        <v>122</v>
      </c>
      <c r="C109" s="10">
        <v>2006</v>
      </c>
      <c r="E109" s="10" t="s">
        <v>177</v>
      </c>
      <c r="F109" s="23">
        <v>68.62</v>
      </c>
      <c r="G109" s="23">
        <v>-149.5</v>
      </c>
      <c r="H109" s="12" t="s">
        <v>34</v>
      </c>
      <c r="I109" s="10" t="s">
        <v>107</v>
      </c>
      <c r="J109" s="10" t="s">
        <v>96</v>
      </c>
      <c r="K109" s="10" t="s">
        <v>19</v>
      </c>
      <c r="L109" s="26">
        <v>1</v>
      </c>
      <c r="M109" s="23">
        <v>-62.3</v>
      </c>
      <c r="O109" s="20">
        <v>-367</v>
      </c>
      <c r="Q109" s="23">
        <v>-15.2</v>
      </c>
      <c r="R109" s="26">
        <v>1</v>
      </c>
      <c r="T109" s="33">
        <f>(Q109+1000)/(M109+1000)</f>
        <v>1.0502292844193237</v>
      </c>
      <c r="U109" s="20">
        <v>-154.4</v>
      </c>
      <c r="V109" s="26">
        <v>1</v>
      </c>
      <c r="X109" s="20">
        <v>-113.63742000000001</v>
      </c>
      <c r="Y109" s="20">
        <v>-151</v>
      </c>
      <c r="Z109" s="20">
        <v>-154.4</v>
      </c>
      <c r="AA109" s="26">
        <f t="shared" si="8"/>
        <v>-299.06399999999996</v>
      </c>
      <c r="AB109" s="26">
        <f t="shared" si="9"/>
        <v>-289.8</v>
      </c>
    </row>
    <row r="110" spans="1:28">
      <c r="A110" s="26">
        <v>107</v>
      </c>
      <c r="B110" s="10" t="s">
        <v>122</v>
      </c>
      <c r="C110" s="10">
        <v>2006</v>
      </c>
      <c r="E110" s="10" t="s">
        <v>178</v>
      </c>
      <c r="F110" s="23">
        <v>68.62</v>
      </c>
      <c r="G110" s="23">
        <v>-149.5</v>
      </c>
      <c r="H110" s="12" t="s">
        <v>34</v>
      </c>
      <c r="I110" s="10" t="s">
        <v>78</v>
      </c>
      <c r="J110" s="10" t="s">
        <v>96</v>
      </c>
      <c r="K110" s="10" t="s">
        <v>19</v>
      </c>
      <c r="L110" s="26">
        <v>1</v>
      </c>
      <c r="M110" s="23">
        <v>-65.900000000000006</v>
      </c>
      <c r="O110" s="20">
        <v>-379</v>
      </c>
      <c r="Q110" s="23">
        <v>-19.100000000000001</v>
      </c>
      <c r="R110" s="26">
        <v>1</v>
      </c>
      <c r="T110" s="33">
        <f>(Q110+1000)/(M110+1000)</f>
        <v>1.0501017021732149</v>
      </c>
      <c r="U110" s="20">
        <v>-149.80000000000001</v>
      </c>
      <c r="V110" s="26">
        <v>1</v>
      </c>
      <c r="X110" s="20">
        <v>-113.63742000000001</v>
      </c>
      <c r="Y110" s="20">
        <v>-151</v>
      </c>
      <c r="Z110" s="20">
        <v>-149.80000000000001</v>
      </c>
      <c r="AA110" s="26">
        <f t="shared" si="8"/>
        <v>-313.08799999999997</v>
      </c>
      <c r="AB110" s="26">
        <f t="shared" si="9"/>
        <v>-304.10000000000002</v>
      </c>
    </row>
    <row r="111" spans="1:28">
      <c r="A111" s="26">
        <v>108</v>
      </c>
      <c r="B111" s="10" t="s">
        <v>179</v>
      </c>
      <c r="C111" s="10">
        <v>2017</v>
      </c>
      <c r="E111" s="10" t="s">
        <v>180</v>
      </c>
      <c r="F111" s="23">
        <v>68.63</v>
      </c>
      <c r="G111" s="23">
        <v>-149.61000000000001</v>
      </c>
      <c r="H111" s="10" t="s">
        <v>16</v>
      </c>
      <c r="I111" s="10" t="s">
        <v>30</v>
      </c>
      <c r="J111" s="10" t="s">
        <v>181</v>
      </c>
      <c r="K111" s="10" t="s">
        <v>46</v>
      </c>
      <c r="L111" s="26">
        <v>42</v>
      </c>
      <c r="M111" s="23">
        <v>-60.704761904761902</v>
      </c>
      <c r="N111" s="27">
        <v>4.788652867288608</v>
      </c>
      <c r="O111" s="20">
        <v>-273.55238095238093</v>
      </c>
      <c r="P111" s="20">
        <v>23.664579253939205</v>
      </c>
      <c r="U111" s="20">
        <v>-161</v>
      </c>
      <c r="V111" s="26">
        <v>1</v>
      </c>
      <c r="W111" s="20">
        <v>8.1</v>
      </c>
      <c r="X111" s="20">
        <v>-111.55099</v>
      </c>
      <c r="Y111" s="20">
        <v>-149</v>
      </c>
      <c r="Z111" s="20">
        <v>-161</v>
      </c>
      <c r="AA111" s="26">
        <f t="shared" si="8"/>
        <v>-202.71238095238093</v>
      </c>
      <c r="AB111" s="26">
        <f t="shared" si="9"/>
        <v>-193.05238095238093</v>
      </c>
    </row>
    <row r="112" spans="1:28">
      <c r="A112" s="26">
        <v>109</v>
      </c>
      <c r="B112" s="10" t="s">
        <v>141</v>
      </c>
      <c r="C112" s="10">
        <v>2009</v>
      </c>
      <c r="E112" s="10" t="s">
        <v>182</v>
      </c>
      <c r="F112" s="23">
        <v>68.75</v>
      </c>
      <c r="G112" s="23">
        <v>161.33000000000001</v>
      </c>
      <c r="H112" s="10" t="s">
        <v>16</v>
      </c>
      <c r="I112" s="10" t="s">
        <v>30</v>
      </c>
      <c r="J112" s="10" t="s">
        <v>244</v>
      </c>
      <c r="K112" s="10" t="s">
        <v>19</v>
      </c>
      <c r="L112" s="26">
        <v>2</v>
      </c>
      <c r="M112" s="34">
        <v>-69.75</v>
      </c>
      <c r="N112" s="35">
        <v>10.4</v>
      </c>
      <c r="O112" s="30">
        <v>-396.5</v>
      </c>
      <c r="P112" s="30">
        <v>27.6</v>
      </c>
      <c r="Q112" s="34">
        <v>-14.6</v>
      </c>
      <c r="R112" s="31">
        <v>2</v>
      </c>
      <c r="S112" s="34">
        <v>7</v>
      </c>
      <c r="T112" s="33">
        <f>(Q112+1000)/(M112+1000)</f>
        <v>1.059285138403655</v>
      </c>
      <c r="U112" s="20">
        <v>-161</v>
      </c>
      <c r="V112" s="26">
        <v>1</v>
      </c>
      <c r="X112" s="20">
        <v>-125.49243</v>
      </c>
      <c r="Y112" s="20">
        <v>-160</v>
      </c>
      <c r="Z112" s="20">
        <v>-161</v>
      </c>
      <c r="AA112" s="26">
        <f t="shared" si="8"/>
        <v>-325.65999999999997</v>
      </c>
      <c r="AB112" s="26">
        <f t="shared" si="9"/>
        <v>-316</v>
      </c>
    </row>
    <row r="113" spans="1:28">
      <c r="A113" s="26">
        <v>110</v>
      </c>
      <c r="B113" s="10" t="s">
        <v>141</v>
      </c>
      <c r="C113" s="10">
        <v>2008</v>
      </c>
      <c r="E113" s="10" t="s">
        <v>183</v>
      </c>
      <c r="F113" s="23">
        <v>68.75</v>
      </c>
      <c r="G113" s="23">
        <v>161.33000000000001</v>
      </c>
      <c r="H113" s="10" t="s">
        <v>16</v>
      </c>
      <c r="I113" s="10" t="s">
        <v>30</v>
      </c>
      <c r="J113" s="10" t="s">
        <v>244</v>
      </c>
      <c r="K113" s="10" t="s">
        <v>19</v>
      </c>
      <c r="L113" s="26">
        <v>4</v>
      </c>
      <c r="M113" s="34">
        <v>-72.025000000000006</v>
      </c>
      <c r="N113" s="35">
        <v>9.02</v>
      </c>
      <c r="O113" s="30">
        <v>-378</v>
      </c>
      <c r="P113" s="30">
        <v>17.04</v>
      </c>
      <c r="Q113" s="34">
        <v>-14.56</v>
      </c>
      <c r="R113" s="31">
        <v>3</v>
      </c>
      <c r="S113" s="34">
        <v>3.4</v>
      </c>
      <c r="T113" s="33">
        <f>(Q113+1000)/(M113+1000)</f>
        <v>1.0619251596217572</v>
      </c>
      <c r="U113" s="20">
        <v>-156.5</v>
      </c>
      <c r="V113" s="26">
        <v>2</v>
      </c>
      <c r="W113" s="20">
        <v>3.5</v>
      </c>
      <c r="X113" s="20">
        <v>-125.49243</v>
      </c>
      <c r="Y113" s="20">
        <v>-160</v>
      </c>
      <c r="Z113" s="20">
        <v>-156.5</v>
      </c>
      <c r="AA113" s="26">
        <f t="shared" si="8"/>
        <v>-309.14</v>
      </c>
      <c r="AB113" s="26">
        <f t="shared" si="9"/>
        <v>-299.75</v>
      </c>
    </row>
    <row r="114" spans="1:28">
      <c r="A114" s="26">
        <v>111</v>
      </c>
      <c r="B114" s="10" t="s">
        <v>141</v>
      </c>
      <c r="C114" s="10">
        <v>2010</v>
      </c>
      <c r="E114" s="10" t="s">
        <v>184</v>
      </c>
      <c r="F114" s="23">
        <v>68.75</v>
      </c>
      <c r="G114" s="23">
        <v>161.33000000000001</v>
      </c>
      <c r="H114" s="10" t="s">
        <v>16</v>
      </c>
      <c r="I114" s="10" t="s">
        <v>30</v>
      </c>
      <c r="J114" s="10" t="s">
        <v>240</v>
      </c>
      <c r="K114" s="10" t="s">
        <v>19</v>
      </c>
      <c r="L114" s="26">
        <v>1</v>
      </c>
      <c r="M114" s="34">
        <v>-58.6</v>
      </c>
      <c r="N114" s="35"/>
      <c r="O114" s="30">
        <v>-339</v>
      </c>
      <c r="P114" s="30"/>
      <c r="Q114" s="34"/>
      <c r="R114" s="31"/>
      <c r="S114" s="34"/>
      <c r="U114" s="20">
        <v>-172</v>
      </c>
      <c r="V114" s="26">
        <v>1</v>
      </c>
      <c r="W114" s="20">
        <v>2.9</v>
      </c>
      <c r="X114" s="20">
        <v>-125.49243</v>
      </c>
      <c r="Y114" s="20">
        <v>-160</v>
      </c>
      <c r="Z114" s="20">
        <v>-172</v>
      </c>
      <c r="AA114" s="26">
        <f t="shared" si="8"/>
        <v>-263.32</v>
      </c>
      <c r="AB114" s="26">
        <f t="shared" si="9"/>
        <v>-253</v>
      </c>
    </row>
    <row r="115" spans="1:28">
      <c r="A115" s="26">
        <v>112</v>
      </c>
      <c r="B115" s="10" t="s">
        <v>141</v>
      </c>
      <c r="C115" s="10">
        <v>2011</v>
      </c>
      <c r="E115" s="10" t="s">
        <v>185</v>
      </c>
      <c r="F115" s="23">
        <v>68.75</v>
      </c>
      <c r="G115" s="23">
        <v>161.33000000000001</v>
      </c>
      <c r="H115" s="10" t="s">
        <v>16</v>
      </c>
      <c r="I115" s="10" t="s">
        <v>30</v>
      </c>
      <c r="J115" s="10" t="s">
        <v>245</v>
      </c>
      <c r="K115" s="10" t="s">
        <v>19</v>
      </c>
      <c r="L115" s="26">
        <v>1</v>
      </c>
      <c r="M115" s="34">
        <v>-58.3</v>
      </c>
      <c r="N115" s="35"/>
      <c r="O115" s="30">
        <v>-360</v>
      </c>
      <c r="P115" s="30"/>
      <c r="Q115" s="34"/>
      <c r="R115" s="31"/>
      <c r="S115" s="34"/>
      <c r="X115" s="20">
        <v>-125.49243</v>
      </c>
      <c r="Y115" s="20">
        <v>-160</v>
      </c>
      <c r="Z115" s="20">
        <v>-125.49243</v>
      </c>
      <c r="AA115" s="26">
        <f t="shared" si="8"/>
        <v>-304.78333079999999</v>
      </c>
    </row>
    <row r="116" spans="1:28">
      <c r="A116" s="26">
        <v>113</v>
      </c>
      <c r="B116" s="10" t="s">
        <v>141</v>
      </c>
      <c r="C116" s="10">
        <v>2012</v>
      </c>
      <c r="E116" s="10" t="s">
        <v>186</v>
      </c>
      <c r="F116" s="23">
        <v>68.75</v>
      </c>
      <c r="G116" s="23">
        <v>161.33000000000001</v>
      </c>
      <c r="H116" s="10" t="s">
        <v>16</v>
      </c>
      <c r="I116" s="10" t="s">
        <v>30</v>
      </c>
      <c r="J116" s="10" t="s">
        <v>245</v>
      </c>
      <c r="K116" s="10" t="s">
        <v>19</v>
      </c>
      <c r="L116" s="26">
        <v>1</v>
      </c>
      <c r="M116" s="34">
        <v>-62</v>
      </c>
      <c r="N116" s="35"/>
      <c r="O116" s="30">
        <v>-402</v>
      </c>
      <c r="P116" s="30"/>
      <c r="Q116" s="34"/>
      <c r="R116" s="31"/>
      <c r="S116" s="34"/>
      <c r="X116" s="20">
        <v>-125.49243</v>
      </c>
      <c r="Y116" s="20">
        <v>-160</v>
      </c>
      <c r="Z116" s="20">
        <v>-125.49243</v>
      </c>
      <c r="AA116" s="26">
        <f t="shared" si="8"/>
        <v>-346.78333079999999</v>
      </c>
    </row>
    <row r="117" spans="1:28">
      <c r="A117" s="26">
        <v>114</v>
      </c>
      <c r="B117" s="10" t="s">
        <v>141</v>
      </c>
      <c r="C117" s="10">
        <v>2013</v>
      </c>
      <c r="E117" s="10" t="s">
        <v>187</v>
      </c>
      <c r="F117" s="23">
        <v>68.75</v>
      </c>
      <c r="G117" s="23">
        <v>161.33000000000001</v>
      </c>
      <c r="H117" s="10" t="s">
        <v>16</v>
      </c>
      <c r="I117" s="10" t="s">
        <v>30</v>
      </c>
      <c r="J117" s="10" t="s">
        <v>245</v>
      </c>
      <c r="K117" s="10" t="s">
        <v>19</v>
      </c>
      <c r="L117" s="26">
        <v>1</v>
      </c>
      <c r="M117" s="34">
        <v>-58.2</v>
      </c>
      <c r="N117" s="35"/>
      <c r="O117" s="30">
        <v>-360</v>
      </c>
      <c r="P117" s="30"/>
      <c r="Q117" s="34"/>
      <c r="R117" s="31"/>
      <c r="S117" s="34"/>
      <c r="X117" s="20">
        <v>-125.49243</v>
      </c>
      <c r="Y117" s="20">
        <v>-160</v>
      </c>
      <c r="Z117" s="20">
        <v>-125.49243</v>
      </c>
      <c r="AA117" s="26">
        <f t="shared" si="8"/>
        <v>-304.78333079999999</v>
      </c>
    </row>
    <row r="118" spans="1:28">
      <c r="A118" s="26">
        <v>115</v>
      </c>
      <c r="B118" s="10" t="s">
        <v>141</v>
      </c>
      <c r="C118" s="10">
        <v>2014</v>
      </c>
      <c r="E118" s="10" t="s">
        <v>188</v>
      </c>
      <c r="F118" s="23">
        <v>68.75</v>
      </c>
      <c r="G118" s="23">
        <v>161.33000000000001</v>
      </c>
      <c r="H118" s="10" t="s">
        <v>16</v>
      </c>
      <c r="I118" s="10" t="s">
        <v>30</v>
      </c>
      <c r="J118" s="10" t="s">
        <v>245</v>
      </c>
      <c r="K118" s="10" t="s">
        <v>19</v>
      </c>
      <c r="L118" s="26">
        <v>1</v>
      </c>
      <c r="M118" s="34">
        <v>-53.7</v>
      </c>
      <c r="N118" s="35"/>
      <c r="O118" s="30">
        <v>-373</v>
      </c>
      <c r="P118" s="30"/>
      <c r="Q118" s="34"/>
      <c r="R118" s="31"/>
      <c r="S118" s="34"/>
      <c r="X118" s="20">
        <v>-125.49243</v>
      </c>
      <c r="Y118" s="20">
        <v>-160</v>
      </c>
      <c r="Z118" s="20">
        <v>-125.49243</v>
      </c>
      <c r="AA118" s="26">
        <f t="shared" si="8"/>
        <v>-317.78333079999999</v>
      </c>
    </row>
    <row r="119" spans="1:28">
      <c r="A119" s="26">
        <v>116</v>
      </c>
      <c r="B119" s="10" t="s">
        <v>141</v>
      </c>
      <c r="C119" s="10">
        <v>2015</v>
      </c>
      <c r="E119" s="10" t="s">
        <v>189</v>
      </c>
      <c r="F119" s="23">
        <v>68.75</v>
      </c>
      <c r="G119" s="23">
        <v>161.33000000000001</v>
      </c>
      <c r="H119" s="10" t="s">
        <v>16</v>
      </c>
      <c r="I119" s="10" t="s">
        <v>30</v>
      </c>
      <c r="J119" s="10" t="s">
        <v>245</v>
      </c>
      <c r="K119" s="10" t="s">
        <v>19</v>
      </c>
      <c r="L119" s="26">
        <v>1</v>
      </c>
      <c r="M119" s="34">
        <v>-57.2</v>
      </c>
      <c r="N119" s="35"/>
      <c r="O119" s="30">
        <v>-389</v>
      </c>
      <c r="P119" s="30"/>
      <c r="Q119" s="34"/>
      <c r="R119" s="31"/>
      <c r="S119" s="34"/>
      <c r="X119" s="20">
        <v>-125.49243</v>
      </c>
      <c r="Y119" s="20">
        <v>-160</v>
      </c>
      <c r="Z119" s="20">
        <v>-125.49243</v>
      </c>
      <c r="AA119" s="26">
        <f t="shared" si="8"/>
        <v>-333.78333079999999</v>
      </c>
    </row>
    <row r="120" spans="1:28">
      <c r="A120" s="26">
        <v>117</v>
      </c>
      <c r="B120" s="10" t="s">
        <v>141</v>
      </c>
      <c r="C120" s="10">
        <v>2016</v>
      </c>
      <c r="E120" s="10" t="s">
        <v>190</v>
      </c>
      <c r="F120" s="23">
        <v>68.75</v>
      </c>
      <c r="G120" s="23">
        <v>161.33000000000001</v>
      </c>
      <c r="H120" s="10" t="s">
        <v>16</v>
      </c>
      <c r="I120" s="10" t="s">
        <v>30</v>
      </c>
      <c r="J120" s="10" t="s">
        <v>245</v>
      </c>
      <c r="K120" s="10" t="s">
        <v>19</v>
      </c>
      <c r="L120" s="26">
        <v>1</v>
      </c>
      <c r="M120" s="34">
        <v>-61</v>
      </c>
      <c r="N120" s="35"/>
      <c r="O120" s="30">
        <v>-372</v>
      </c>
      <c r="P120" s="30"/>
      <c r="Q120" s="34"/>
      <c r="R120" s="31"/>
      <c r="S120" s="34"/>
      <c r="X120" s="20">
        <v>-125.49243</v>
      </c>
      <c r="Y120" s="20">
        <v>-160</v>
      </c>
      <c r="Z120" s="20">
        <v>-125.49243</v>
      </c>
      <c r="AA120" s="26">
        <f t="shared" si="8"/>
        <v>-316.78333079999999</v>
      </c>
    </row>
    <row r="121" spans="1:28">
      <c r="A121" s="26">
        <v>118</v>
      </c>
      <c r="B121" s="10" t="s">
        <v>191</v>
      </c>
      <c r="C121" s="10">
        <v>2006</v>
      </c>
      <c r="E121" s="10" t="s">
        <v>192</v>
      </c>
      <c r="F121" s="23">
        <v>68.760000000000005</v>
      </c>
      <c r="G121" s="23">
        <v>161.34</v>
      </c>
      <c r="H121" s="10" t="s">
        <v>16</v>
      </c>
      <c r="I121" s="10" t="s">
        <v>30</v>
      </c>
      <c r="J121" s="10" t="s">
        <v>240</v>
      </c>
      <c r="K121" s="10" t="s">
        <v>46</v>
      </c>
      <c r="L121" s="26">
        <v>5</v>
      </c>
      <c r="M121" s="34">
        <v>-74.239999999999995</v>
      </c>
      <c r="N121" s="35">
        <v>5.3663999999999996</v>
      </c>
      <c r="O121" s="30">
        <v>-389.6</v>
      </c>
      <c r="P121" s="30">
        <v>10.4247</v>
      </c>
      <c r="Q121" s="34"/>
      <c r="R121" s="31"/>
      <c r="S121" s="34"/>
      <c r="T121" s="36"/>
      <c r="X121" s="20">
        <v>-125.36794</v>
      </c>
      <c r="Y121" s="20">
        <v>-159</v>
      </c>
      <c r="Z121" s="20">
        <v>-125.36794</v>
      </c>
      <c r="AA121" s="26">
        <f t="shared" si="8"/>
        <v>-334.43810640000004</v>
      </c>
    </row>
    <row r="122" spans="1:28">
      <c r="A122" s="26">
        <v>119</v>
      </c>
      <c r="B122" s="10" t="s">
        <v>193</v>
      </c>
      <c r="C122" s="10">
        <v>1997</v>
      </c>
      <c r="E122" s="10" t="s">
        <v>194</v>
      </c>
      <c r="F122" s="23">
        <v>69</v>
      </c>
      <c r="G122" s="23">
        <v>161</v>
      </c>
      <c r="H122" s="10" t="s">
        <v>16</v>
      </c>
      <c r="I122" s="10" t="s">
        <v>30</v>
      </c>
      <c r="J122" s="10" t="s">
        <v>240</v>
      </c>
      <c r="K122" s="10" t="s">
        <v>46</v>
      </c>
      <c r="L122" s="26">
        <v>3</v>
      </c>
      <c r="M122" s="34">
        <v>-72.012500000000003</v>
      </c>
      <c r="N122" s="35">
        <v>4.3268000000000004</v>
      </c>
      <c r="O122" s="30">
        <v>-367.25</v>
      </c>
      <c r="P122" s="30">
        <v>136.98269999999999</v>
      </c>
      <c r="Q122" s="34"/>
      <c r="R122" s="31"/>
      <c r="S122" s="34"/>
      <c r="T122" s="36"/>
      <c r="X122" s="20">
        <v>-130.65476000000001</v>
      </c>
      <c r="Y122" s="20">
        <v>-134</v>
      </c>
      <c r="Z122" s="20">
        <v>-130.65476000000001</v>
      </c>
      <c r="AA122" s="26">
        <f t="shared" si="8"/>
        <v>-309.76190559999998</v>
      </c>
    </row>
    <row r="123" spans="1:28">
      <c r="A123" s="26">
        <v>120</v>
      </c>
      <c r="B123" s="10" t="s">
        <v>122</v>
      </c>
      <c r="C123" s="10">
        <v>2006</v>
      </c>
      <c r="E123" s="10" t="s">
        <v>195</v>
      </c>
      <c r="F123" s="23">
        <v>69.33</v>
      </c>
      <c r="G123" s="23">
        <v>-148.75</v>
      </c>
      <c r="H123" s="12" t="s">
        <v>34</v>
      </c>
      <c r="I123" s="10" t="s">
        <v>107</v>
      </c>
      <c r="J123" s="10" t="s">
        <v>96</v>
      </c>
      <c r="K123" s="10" t="s">
        <v>19</v>
      </c>
      <c r="L123" s="26">
        <v>1</v>
      </c>
      <c r="M123" s="23">
        <v>-57.8</v>
      </c>
      <c r="O123" s="20">
        <v>-363.3</v>
      </c>
      <c r="Q123" s="23">
        <v>-12.4</v>
      </c>
      <c r="R123" s="26">
        <v>1</v>
      </c>
      <c r="T123" s="33">
        <f t="shared" ref="T123:T131" si="10">(Q123+1000)/(M123+1000)</f>
        <v>1.0481850987051582</v>
      </c>
      <c r="U123" s="20">
        <v>-147.6</v>
      </c>
      <c r="V123" s="26">
        <v>1</v>
      </c>
      <c r="X123" s="20">
        <v>-106.12730000000001</v>
      </c>
      <c r="Y123" s="20">
        <v>-143</v>
      </c>
      <c r="Z123" s="20">
        <v>-147.6</v>
      </c>
      <c r="AA123" s="26">
        <f t="shared" si="8"/>
        <v>-298.35599999999999</v>
      </c>
      <c r="AB123" s="26">
        <f>O123-(U123*0.5)</f>
        <v>-289.5</v>
      </c>
    </row>
    <row r="124" spans="1:28">
      <c r="A124" s="26">
        <v>121</v>
      </c>
      <c r="B124" s="10" t="s">
        <v>253</v>
      </c>
      <c r="C124" s="10">
        <v>1992</v>
      </c>
      <c r="D124" s="43" t="s">
        <v>252</v>
      </c>
      <c r="E124" s="10" t="s">
        <v>246</v>
      </c>
      <c r="F124" s="23">
        <v>69.5</v>
      </c>
      <c r="G124" s="23">
        <v>-148.69999999999999</v>
      </c>
      <c r="H124" s="10" t="s">
        <v>34</v>
      </c>
      <c r="I124" s="10" t="s">
        <v>107</v>
      </c>
      <c r="J124" s="10" t="s">
        <v>176</v>
      </c>
      <c r="K124" s="10" t="s">
        <v>19</v>
      </c>
      <c r="L124" s="26">
        <v>2</v>
      </c>
      <c r="M124" s="23">
        <v>-63</v>
      </c>
      <c r="N124" s="27">
        <v>6</v>
      </c>
      <c r="O124" s="20">
        <v>-361</v>
      </c>
      <c r="P124" s="20">
        <v>14</v>
      </c>
      <c r="Q124" s="23">
        <v>-18.600000000000001</v>
      </c>
      <c r="R124" s="26">
        <v>2</v>
      </c>
      <c r="S124" s="23">
        <v>14</v>
      </c>
      <c r="T124" s="33">
        <f t="shared" si="10"/>
        <v>1.047385272145144</v>
      </c>
      <c r="U124" s="20">
        <v>-102</v>
      </c>
      <c r="V124" s="26">
        <v>1</v>
      </c>
      <c r="X124" s="20">
        <v>-105.71424</v>
      </c>
      <c r="Y124" s="20">
        <v>-142</v>
      </c>
      <c r="Z124" s="20">
        <v>-102</v>
      </c>
      <c r="AA124" s="26">
        <f t="shared" si="8"/>
        <v>-316.12</v>
      </c>
      <c r="AB124" s="26">
        <f>O124-(U124*0.5)</f>
        <v>-310</v>
      </c>
    </row>
    <row r="125" spans="1:28">
      <c r="A125" s="26">
        <v>122</v>
      </c>
      <c r="B125" s="10" t="s">
        <v>122</v>
      </c>
      <c r="C125" s="10">
        <v>2006</v>
      </c>
      <c r="E125" s="10" t="s">
        <v>196</v>
      </c>
      <c r="F125" s="23">
        <v>69.8</v>
      </c>
      <c r="G125" s="23">
        <v>-148.75</v>
      </c>
      <c r="H125" s="12" t="s">
        <v>34</v>
      </c>
      <c r="I125" s="10" t="s">
        <v>107</v>
      </c>
      <c r="J125" s="10" t="s">
        <v>96</v>
      </c>
      <c r="K125" s="10" t="s">
        <v>19</v>
      </c>
      <c r="L125" s="26">
        <v>2</v>
      </c>
      <c r="M125" s="23">
        <v>-60.45</v>
      </c>
      <c r="N125" s="27">
        <f>STDEV(-58.1,-62.8)</f>
        <v>3.3234018715767704</v>
      </c>
      <c r="O125" s="20">
        <f>AVERAGE(-369,-366)</f>
        <v>-367.5</v>
      </c>
      <c r="P125" s="20">
        <f>STDEV(-369,-366)</f>
        <v>2.1213203435596424</v>
      </c>
      <c r="Q125" s="23">
        <f>AVERAGE(-9,-5.5)</f>
        <v>-7.25</v>
      </c>
      <c r="R125" s="26">
        <v>2</v>
      </c>
      <c r="S125" s="23">
        <f>STDEV(-9,-5.5)</f>
        <v>2.4748737341529163</v>
      </c>
      <c r="T125" s="33">
        <f t="shared" si="10"/>
        <v>1.0566228513650153</v>
      </c>
      <c r="U125" s="20">
        <v>-134.80000000000001</v>
      </c>
      <c r="V125" s="26">
        <v>1</v>
      </c>
      <c r="X125" s="20">
        <v>-106.19195000000001</v>
      </c>
      <c r="Y125" s="20">
        <v>-142</v>
      </c>
      <c r="Z125" s="20">
        <v>-134.80000000000001</v>
      </c>
      <c r="AA125" s="26">
        <f t="shared" si="8"/>
        <v>-308.18799999999999</v>
      </c>
      <c r="AB125" s="26">
        <f>O125-(U125*0.5)</f>
        <v>-300.10000000000002</v>
      </c>
    </row>
    <row r="126" spans="1:28">
      <c r="A126" s="26">
        <v>123</v>
      </c>
      <c r="B126" s="10" t="s">
        <v>253</v>
      </c>
      <c r="C126" s="10">
        <v>1992</v>
      </c>
      <c r="D126" s="43" t="s">
        <v>252</v>
      </c>
      <c r="E126" s="10" t="s">
        <v>197</v>
      </c>
      <c r="F126" s="23">
        <v>70</v>
      </c>
      <c r="G126" s="23">
        <v>-149.35</v>
      </c>
      <c r="H126" s="10" t="s">
        <v>34</v>
      </c>
      <c r="I126" s="10" t="s">
        <v>107</v>
      </c>
      <c r="J126" s="10" t="s">
        <v>176</v>
      </c>
      <c r="K126" s="10" t="s">
        <v>19</v>
      </c>
      <c r="L126" s="26">
        <v>2</v>
      </c>
      <c r="M126" s="23">
        <v>-63</v>
      </c>
      <c r="N126" s="27">
        <v>8</v>
      </c>
      <c r="O126" s="20">
        <v>-392.5</v>
      </c>
      <c r="P126" s="20">
        <v>5</v>
      </c>
      <c r="Q126" s="23">
        <v>-17.399999999999999</v>
      </c>
      <c r="R126" s="26">
        <v>2</v>
      </c>
      <c r="S126" s="23">
        <v>5</v>
      </c>
      <c r="T126" s="33">
        <f t="shared" si="10"/>
        <v>1.048665955176094</v>
      </c>
      <c r="U126" s="20">
        <v>-92</v>
      </c>
      <c r="V126" s="26">
        <v>1</v>
      </c>
      <c r="X126" s="20">
        <v>-106.68085000000001</v>
      </c>
      <c r="Y126" s="20">
        <v>-143</v>
      </c>
      <c r="Z126" s="20">
        <v>-92</v>
      </c>
      <c r="AA126" s="26">
        <f t="shared" si="8"/>
        <v>-352.02</v>
      </c>
      <c r="AB126" s="26">
        <f>O126-(U126*0.5)</f>
        <v>-346.5</v>
      </c>
    </row>
    <row r="127" spans="1:28">
      <c r="A127" s="26">
        <v>124</v>
      </c>
      <c r="B127" s="10" t="s">
        <v>146</v>
      </c>
      <c r="C127" s="10">
        <v>2016</v>
      </c>
      <c r="E127" s="10" t="s">
        <v>247</v>
      </c>
      <c r="F127" s="23">
        <v>71.28</v>
      </c>
      <c r="G127" s="23">
        <v>-156.63999999999999</v>
      </c>
      <c r="H127" s="10" t="s">
        <v>16</v>
      </c>
      <c r="I127" s="10" t="s">
        <v>30</v>
      </c>
      <c r="J127" s="10" t="s">
        <v>176</v>
      </c>
      <c r="K127" s="10" t="s">
        <v>19</v>
      </c>
      <c r="L127" s="26">
        <v>1</v>
      </c>
      <c r="M127" s="23">
        <v>-64</v>
      </c>
      <c r="O127" s="20">
        <v>-371.4</v>
      </c>
      <c r="Q127" s="23">
        <v>-23.39</v>
      </c>
      <c r="R127" s="26">
        <v>1</v>
      </c>
      <c r="T127" s="33">
        <f t="shared" si="10"/>
        <v>1.0433867521367521</v>
      </c>
      <c r="X127" s="20">
        <v>-117.04613000000001</v>
      </c>
      <c r="Y127" s="20">
        <v>-149</v>
      </c>
      <c r="Z127" s="20">
        <v>-117.04613000000001</v>
      </c>
      <c r="AA127" s="26">
        <f t="shared" si="8"/>
        <v>-319.8997028</v>
      </c>
    </row>
    <row r="128" spans="1:28">
      <c r="A128" s="26">
        <v>125</v>
      </c>
      <c r="B128" s="10" t="s">
        <v>198</v>
      </c>
      <c r="C128" s="10">
        <v>2015</v>
      </c>
      <c r="E128" s="10" t="s">
        <v>199</v>
      </c>
      <c r="F128" s="23">
        <v>73.2</v>
      </c>
      <c r="G128" s="23">
        <v>-80</v>
      </c>
      <c r="H128" s="10" t="s">
        <v>16</v>
      </c>
      <c r="I128" s="10" t="s">
        <v>30</v>
      </c>
      <c r="J128" s="10" t="s">
        <v>22</v>
      </c>
      <c r="K128" s="10" t="s">
        <v>19</v>
      </c>
      <c r="L128" s="26">
        <v>4</v>
      </c>
      <c r="M128" s="23">
        <v>-60.76</v>
      </c>
      <c r="N128" s="27">
        <v>1.5</v>
      </c>
      <c r="O128" s="20">
        <v>-416.2</v>
      </c>
      <c r="P128" s="20">
        <v>21.05</v>
      </c>
      <c r="Q128" s="23">
        <v>-18.43</v>
      </c>
      <c r="R128" s="26">
        <v>3</v>
      </c>
      <c r="S128" s="23">
        <v>3</v>
      </c>
      <c r="T128" s="33">
        <f t="shared" si="10"/>
        <v>1.0450683531365785</v>
      </c>
      <c r="X128" s="20">
        <v>-159.76298</v>
      </c>
      <c r="Y128" s="20">
        <v>-192</v>
      </c>
      <c r="Z128" s="20">
        <v>-159.76298</v>
      </c>
      <c r="AA128" s="26">
        <f t="shared" si="8"/>
        <v>-345.90428880000002</v>
      </c>
    </row>
    <row r="129" spans="1:28">
      <c r="A129" s="26">
        <v>126</v>
      </c>
      <c r="B129" s="10" t="s">
        <v>198</v>
      </c>
      <c r="C129" s="10">
        <v>2015</v>
      </c>
      <c r="E129" s="10" t="s">
        <v>200</v>
      </c>
      <c r="F129" s="23">
        <v>73.2</v>
      </c>
      <c r="G129" s="23">
        <v>-80</v>
      </c>
      <c r="H129" s="10" t="s">
        <v>16</v>
      </c>
      <c r="I129" s="10" t="s">
        <v>30</v>
      </c>
      <c r="J129" s="10" t="s">
        <v>22</v>
      </c>
      <c r="K129" s="10" t="s">
        <v>19</v>
      </c>
      <c r="L129" s="26">
        <v>2</v>
      </c>
      <c r="M129" s="23">
        <v>-59.93</v>
      </c>
      <c r="N129" s="27">
        <v>2.4</v>
      </c>
      <c r="O129" s="20">
        <v>-360.75</v>
      </c>
      <c r="P129" s="20">
        <v>34.700000000000003</v>
      </c>
      <c r="Q129" s="23">
        <v>-13.15</v>
      </c>
      <c r="R129" s="26">
        <v>2</v>
      </c>
      <c r="S129" s="23">
        <v>6.7</v>
      </c>
      <c r="T129" s="33">
        <f t="shared" si="10"/>
        <v>1.0497622517472103</v>
      </c>
      <c r="X129" s="20">
        <v>-159.76298</v>
      </c>
      <c r="Y129" s="20">
        <v>-192</v>
      </c>
      <c r="Z129" s="20">
        <v>-159.76298</v>
      </c>
      <c r="AA129" s="26">
        <f t="shared" si="8"/>
        <v>-290.45428879999997</v>
      </c>
    </row>
    <row r="130" spans="1:28">
      <c r="A130" s="26">
        <v>127</v>
      </c>
      <c r="B130" s="10" t="s">
        <v>198</v>
      </c>
      <c r="C130" s="10">
        <v>2015</v>
      </c>
      <c r="E130" s="10" t="s">
        <v>201</v>
      </c>
      <c r="F130" s="23">
        <v>73.2</v>
      </c>
      <c r="G130" s="23">
        <v>-80</v>
      </c>
      <c r="H130" s="10" t="s">
        <v>16</v>
      </c>
      <c r="I130" s="10" t="s">
        <v>30</v>
      </c>
      <c r="J130" s="10" t="s">
        <v>22</v>
      </c>
      <c r="K130" s="10" t="s">
        <v>19</v>
      </c>
      <c r="L130" s="26">
        <v>2</v>
      </c>
      <c r="M130" s="23">
        <v>-64.3</v>
      </c>
      <c r="N130" s="27">
        <v>1.7</v>
      </c>
      <c r="O130" s="20">
        <v>-362</v>
      </c>
      <c r="P130" s="20">
        <v>24</v>
      </c>
      <c r="Q130" s="23">
        <v>-17.5</v>
      </c>
      <c r="R130" s="26">
        <v>1</v>
      </c>
      <c r="T130" s="33">
        <f t="shared" si="10"/>
        <v>1.0500160307790958</v>
      </c>
      <c r="X130" s="20">
        <v>-159.76298</v>
      </c>
      <c r="Y130" s="20">
        <v>-192</v>
      </c>
      <c r="Z130" s="20">
        <v>-159.76298</v>
      </c>
      <c r="AA130" s="26">
        <f t="shared" si="8"/>
        <v>-291.70428879999997</v>
      </c>
    </row>
    <row r="131" spans="1:28">
      <c r="A131" s="37">
        <v>128</v>
      </c>
      <c r="B131" s="1" t="s">
        <v>198</v>
      </c>
      <c r="C131" s="1">
        <v>2015</v>
      </c>
      <c r="D131" s="45"/>
      <c r="E131" s="1" t="s">
        <v>202</v>
      </c>
      <c r="F131" s="38">
        <v>73.2</v>
      </c>
      <c r="G131" s="38">
        <v>-80</v>
      </c>
      <c r="H131" s="1" t="s">
        <v>16</v>
      </c>
      <c r="I131" s="1" t="s">
        <v>30</v>
      </c>
      <c r="J131" s="1" t="s">
        <v>22</v>
      </c>
      <c r="K131" s="1" t="s">
        <v>19</v>
      </c>
      <c r="L131" s="37">
        <v>7</v>
      </c>
      <c r="M131" s="38">
        <v>-59.5</v>
      </c>
      <c r="N131" s="39">
        <v>6</v>
      </c>
      <c r="O131" s="40">
        <v>-362.14</v>
      </c>
      <c r="P131" s="40">
        <v>15.6</v>
      </c>
      <c r="Q131" s="38">
        <v>-11.66</v>
      </c>
      <c r="R131" s="37">
        <v>5</v>
      </c>
      <c r="S131" s="38">
        <v>7.3</v>
      </c>
      <c r="T131" s="41">
        <f t="shared" si="10"/>
        <v>1.0508665603402445</v>
      </c>
      <c r="U131" s="40"/>
      <c r="V131" s="37"/>
      <c r="W131" s="40"/>
      <c r="X131" s="40">
        <v>-159.76298</v>
      </c>
      <c r="Y131" s="40">
        <v>-192</v>
      </c>
      <c r="Z131" s="40">
        <v>-159.76298</v>
      </c>
      <c r="AA131" s="37">
        <f t="shared" si="8"/>
        <v>-291.84428879999996</v>
      </c>
      <c r="AB131" s="37"/>
    </row>
    <row r="132" spans="1:28">
      <c r="A132" t="s">
        <v>203</v>
      </c>
    </row>
    <row r="133" spans="1:28">
      <c r="A133" s="74" t="s">
        <v>259</v>
      </c>
      <c r="B133" s="74"/>
      <c r="C133" s="74"/>
      <c r="D133" s="74"/>
      <c r="L133" s="32"/>
    </row>
    <row r="134" spans="1:28">
      <c r="A134" s="74" t="s">
        <v>261</v>
      </c>
      <c r="B134" s="74"/>
      <c r="C134" s="74"/>
      <c r="D134" s="74"/>
      <c r="L134" s="32"/>
    </row>
    <row r="135" spans="1:28">
      <c r="L135" s="32"/>
    </row>
    <row r="136" spans="1:28">
      <c r="L136" s="32"/>
    </row>
    <row r="137" spans="1:28">
      <c r="L137" s="32"/>
    </row>
    <row r="138" spans="1:28">
      <c r="L138" s="32"/>
    </row>
    <row r="139" spans="1:28">
      <c r="L139" s="32"/>
    </row>
    <row r="140" spans="1:28">
      <c r="L140" s="32"/>
    </row>
    <row r="141" spans="1:28">
      <c r="L141" s="32"/>
    </row>
    <row r="142" spans="1:28">
      <c r="L142" s="32"/>
    </row>
    <row r="143" spans="1:28">
      <c r="L143" s="32"/>
    </row>
    <row r="144" spans="1:28">
      <c r="L144" s="32"/>
    </row>
    <row r="145" spans="6:26">
      <c r="L145" s="32"/>
    </row>
    <row r="146" spans="6:26">
      <c r="F146" s="26"/>
      <c r="G146" s="26"/>
      <c r="L146" s="32"/>
      <c r="M146" s="26"/>
      <c r="N146" s="26"/>
      <c r="O146" s="26"/>
      <c r="P146" s="26"/>
      <c r="Q146" s="26"/>
      <c r="S146" s="26"/>
      <c r="T146" s="26"/>
      <c r="U146" s="26"/>
      <c r="W146" s="26"/>
      <c r="X146" s="26"/>
      <c r="Y146" s="26"/>
      <c r="Z146" s="26"/>
    </row>
    <row r="147" spans="6:26">
      <c r="F147" s="26"/>
      <c r="G147" s="26"/>
      <c r="L147" s="32"/>
      <c r="M147" s="26"/>
      <c r="N147" s="26"/>
      <c r="O147" s="26"/>
      <c r="P147" s="26"/>
      <c r="Q147" s="26"/>
      <c r="S147" s="26"/>
      <c r="T147" s="26"/>
      <c r="U147" s="26"/>
      <c r="W147" s="26"/>
      <c r="X147" s="26"/>
      <c r="Y147" s="26"/>
      <c r="Z147" s="26"/>
    </row>
    <row r="148" spans="6:26">
      <c r="F148" s="26"/>
      <c r="G148" s="26"/>
      <c r="L148" s="32"/>
      <c r="M148" s="26"/>
      <c r="N148" s="26"/>
      <c r="O148" s="26"/>
      <c r="P148" s="26"/>
      <c r="Q148" s="26"/>
      <c r="S148" s="26"/>
      <c r="T148" s="26"/>
      <c r="U148" s="26"/>
      <c r="W148" s="26"/>
      <c r="X148" s="26"/>
      <c r="Y148" s="26"/>
      <c r="Z148" s="26"/>
    </row>
    <row r="149" spans="6:26">
      <c r="F149" s="26"/>
      <c r="G149" s="26"/>
      <c r="L149" s="32"/>
      <c r="M149" s="26"/>
      <c r="N149" s="26"/>
      <c r="O149" s="26"/>
      <c r="P149" s="26"/>
      <c r="Q149" s="26"/>
      <c r="S149" s="26"/>
      <c r="T149" s="26"/>
      <c r="U149" s="26"/>
      <c r="W149" s="26"/>
      <c r="X149" s="26"/>
      <c r="Y149" s="26"/>
      <c r="Z149" s="26"/>
    </row>
    <row r="150" spans="6:26">
      <c r="F150" s="26"/>
      <c r="G150" s="26"/>
      <c r="L150" s="32"/>
      <c r="M150" s="26"/>
      <c r="N150" s="26"/>
      <c r="O150" s="26"/>
      <c r="P150" s="26"/>
      <c r="Q150" s="26"/>
      <c r="S150" s="26"/>
      <c r="T150" s="26"/>
      <c r="U150" s="26"/>
      <c r="W150" s="26"/>
      <c r="X150" s="26"/>
      <c r="Y150" s="26"/>
      <c r="Z150" s="26"/>
    </row>
    <row r="151" spans="6:26">
      <c r="F151" s="26"/>
      <c r="G151" s="26"/>
      <c r="L151" s="32"/>
      <c r="M151" s="26"/>
      <c r="N151" s="26"/>
      <c r="O151" s="26"/>
      <c r="P151" s="26"/>
      <c r="Q151" s="26"/>
      <c r="S151" s="26"/>
      <c r="T151" s="26"/>
      <c r="U151" s="26"/>
      <c r="W151" s="26"/>
      <c r="X151" s="26"/>
      <c r="Y151" s="26"/>
      <c r="Z151" s="26"/>
    </row>
    <row r="152" spans="6:26">
      <c r="F152" s="26"/>
      <c r="G152" s="26"/>
      <c r="L152" s="32"/>
      <c r="M152" s="26"/>
      <c r="N152" s="26"/>
      <c r="O152" s="26"/>
      <c r="P152" s="26"/>
      <c r="Q152" s="26"/>
      <c r="S152" s="26"/>
      <c r="T152" s="26"/>
      <c r="U152" s="26"/>
      <c r="W152" s="26"/>
      <c r="X152" s="26"/>
      <c r="Y152" s="26"/>
      <c r="Z152" s="26"/>
    </row>
  </sheetData>
  <mergeCells count="2">
    <mergeCell ref="A133:D133"/>
    <mergeCell ref="A134:D134"/>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C34" sqref="C34"/>
    </sheetView>
  </sheetViews>
  <sheetFormatPr baseColWidth="10" defaultRowHeight="15" x14ac:dyDescent="0"/>
  <cols>
    <col min="1" max="1" width="35.5" style="47" customWidth="1"/>
    <col min="2" max="2" width="12.83203125" style="47" customWidth="1"/>
    <col min="3" max="3" width="9.6640625" style="48" customWidth="1"/>
    <col min="4" max="4" width="14.1640625" style="49" customWidth="1"/>
    <col min="5" max="5" width="11.1640625" style="49" customWidth="1"/>
    <col min="6" max="6" width="10.83203125" style="48"/>
    <col min="7" max="7" width="10.83203125" style="49"/>
    <col min="8" max="8" width="10.83203125" style="50"/>
    <col min="9" max="9" width="8.5" style="47" customWidth="1"/>
    <col min="10" max="16384" width="10.83203125" style="47"/>
  </cols>
  <sheetData>
    <row r="1" spans="1:9" ht="17">
      <c r="A1" s="47" t="s">
        <v>289</v>
      </c>
    </row>
    <row r="2" spans="1:9" ht="16">
      <c r="A2" s="9" t="s">
        <v>276</v>
      </c>
      <c r="B2" s="9" t="s">
        <v>277</v>
      </c>
      <c r="C2" s="53" t="s">
        <v>266</v>
      </c>
      <c r="D2" s="54" t="s">
        <v>278</v>
      </c>
      <c r="E2" s="54" t="s">
        <v>266</v>
      </c>
      <c r="F2" s="53" t="s">
        <v>279</v>
      </c>
      <c r="G2" s="54" t="s">
        <v>262</v>
      </c>
      <c r="H2" s="55" t="s">
        <v>263</v>
      </c>
      <c r="I2" s="17" t="s">
        <v>12</v>
      </c>
    </row>
    <row r="3" spans="1:9" ht="17">
      <c r="A3" s="46" t="s">
        <v>267</v>
      </c>
    </row>
    <row r="4" spans="1:9">
      <c r="A4" s="47" t="s">
        <v>275</v>
      </c>
      <c r="B4" s="48">
        <v>0.44</v>
      </c>
      <c r="C4" s="48">
        <v>0.05</v>
      </c>
      <c r="D4" s="49">
        <v>-297.8</v>
      </c>
      <c r="E4" s="49">
        <v>4.5</v>
      </c>
      <c r="F4" s="48">
        <v>0.41799999999999998</v>
      </c>
      <c r="G4" s="49">
        <v>27.4</v>
      </c>
      <c r="H4" s="50">
        <v>1.3299999999999999E-16</v>
      </c>
      <c r="I4" s="47">
        <v>129</v>
      </c>
    </row>
    <row r="5" spans="1:9">
      <c r="A5" s="47" t="s">
        <v>264</v>
      </c>
      <c r="B5" s="48">
        <v>0.51</v>
      </c>
      <c r="C5" s="48">
        <v>5.8000000000000003E-2</v>
      </c>
      <c r="D5" s="49">
        <v>-299.47000000000003</v>
      </c>
      <c r="E5" s="49">
        <v>5.2</v>
      </c>
      <c r="F5" s="48">
        <v>0.59</v>
      </c>
      <c r="G5" s="49">
        <v>23.7</v>
      </c>
      <c r="H5" s="50">
        <v>7.8500000000000007E-12</v>
      </c>
      <c r="I5" s="47">
        <v>55</v>
      </c>
    </row>
    <row r="6" spans="1:9">
      <c r="A6" s="47" t="s">
        <v>265</v>
      </c>
      <c r="B6" s="48">
        <v>0.42</v>
      </c>
      <c r="C6" s="48">
        <v>7.0000000000000007E-2</v>
      </c>
      <c r="D6" s="49">
        <v>-294.64999999999998</v>
      </c>
      <c r="E6" s="49">
        <v>7.4</v>
      </c>
      <c r="F6" s="48">
        <v>0.33500000000000002</v>
      </c>
      <c r="G6" s="49">
        <v>29.1</v>
      </c>
      <c r="H6" s="50">
        <v>6.7200000000000006E-8</v>
      </c>
      <c r="I6" s="47">
        <v>74</v>
      </c>
    </row>
    <row r="7" spans="1:9" ht="17">
      <c r="A7" s="51" t="s">
        <v>284</v>
      </c>
      <c r="B7" s="48"/>
    </row>
    <row r="8" spans="1:9">
      <c r="A8" s="47" t="s">
        <v>275</v>
      </c>
      <c r="B8" s="48">
        <v>0.5</v>
      </c>
      <c r="C8" s="48">
        <v>7.4999999999999997E-2</v>
      </c>
      <c r="D8" s="49">
        <v>-292.42</v>
      </c>
      <c r="E8" s="49">
        <v>8.1</v>
      </c>
      <c r="F8" s="48">
        <v>0.42599999999999999</v>
      </c>
      <c r="G8" s="49">
        <v>28.6</v>
      </c>
      <c r="H8" s="50">
        <v>1.22E-8</v>
      </c>
      <c r="I8" s="47">
        <v>61</v>
      </c>
    </row>
    <row r="9" spans="1:9">
      <c r="A9" s="47" t="s">
        <v>264</v>
      </c>
      <c r="B9" s="48">
        <v>0.53</v>
      </c>
      <c r="C9" s="48">
        <v>0.11</v>
      </c>
      <c r="D9" s="49">
        <v>-297.64999999999998</v>
      </c>
      <c r="E9" s="49">
        <v>12.7</v>
      </c>
      <c r="F9" s="48">
        <v>0.44</v>
      </c>
      <c r="G9" s="49">
        <v>26.2</v>
      </c>
      <c r="H9" s="50">
        <v>6.58E-5</v>
      </c>
      <c r="I9" s="47">
        <v>28</v>
      </c>
    </row>
    <row r="10" spans="1:9">
      <c r="A10" s="47" t="s">
        <v>265</v>
      </c>
      <c r="B10" s="48">
        <v>0.42491000000000001</v>
      </c>
      <c r="C10" s="48">
        <v>9.8729999999999998E-2</v>
      </c>
      <c r="D10" s="49">
        <v>-291.22000000000003</v>
      </c>
      <c r="E10" s="49">
        <v>10.004</v>
      </c>
      <c r="F10" s="48">
        <v>0.374</v>
      </c>
      <c r="G10" s="49">
        <v>28.9</v>
      </c>
      <c r="H10" s="50">
        <v>1.56E-4</v>
      </c>
      <c r="I10" s="47">
        <v>33</v>
      </c>
    </row>
    <row r="11" spans="1:9" ht="17">
      <c r="A11" s="46" t="s">
        <v>270</v>
      </c>
      <c r="B11" s="48"/>
    </row>
    <row r="12" spans="1:9">
      <c r="A12" s="47" t="s">
        <v>275</v>
      </c>
      <c r="B12" s="48">
        <v>0.42038999999999999</v>
      </c>
      <c r="C12" s="48">
        <v>4.2140999999999998E-2</v>
      </c>
      <c r="D12" s="49">
        <v>-292.89</v>
      </c>
      <c r="E12" s="49">
        <v>4.7984</v>
      </c>
      <c r="F12" s="48">
        <v>0.439</v>
      </c>
      <c r="G12" s="49">
        <v>26.9</v>
      </c>
      <c r="H12" s="50">
        <v>1.1699999999999999E-17</v>
      </c>
      <c r="I12" s="47">
        <v>129</v>
      </c>
    </row>
    <row r="13" spans="1:9">
      <c r="A13" s="47" t="s">
        <v>264</v>
      </c>
      <c r="B13" s="48">
        <v>0.57455999999999996</v>
      </c>
      <c r="C13" s="48">
        <v>5.7750000000000003E-2</v>
      </c>
      <c r="D13" s="49">
        <v>-286.85000000000002</v>
      </c>
      <c r="E13" s="49">
        <v>5.6651999999999996</v>
      </c>
      <c r="F13" s="48">
        <v>0.65100000000000002</v>
      </c>
      <c r="G13" s="49">
        <v>21.9</v>
      </c>
      <c r="H13" s="50">
        <v>1.01E-13</v>
      </c>
      <c r="I13" s="47">
        <v>55</v>
      </c>
    </row>
    <row r="14" spans="1:9">
      <c r="A14" s="47" t="s">
        <v>265</v>
      </c>
      <c r="B14" s="48">
        <v>0.37</v>
      </c>
      <c r="C14" s="48">
        <v>5.7707000000000001E-2</v>
      </c>
      <c r="D14" s="49">
        <v>-293.26</v>
      </c>
      <c r="E14" s="49">
        <v>7.1726999999999999</v>
      </c>
      <c r="F14" s="48">
        <v>0.36399999999999999</v>
      </c>
      <c r="G14" s="49">
        <v>28.4</v>
      </c>
      <c r="H14" s="50">
        <v>1.2469000000000001E-8</v>
      </c>
      <c r="I14" s="47">
        <v>74</v>
      </c>
    </row>
    <row r="15" spans="1:9" ht="17">
      <c r="A15" s="46" t="s">
        <v>269</v>
      </c>
      <c r="B15" s="48"/>
    </row>
    <row r="16" spans="1:9">
      <c r="A16" s="47" t="s">
        <v>275</v>
      </c>
      <c r="B16" s="48">
        <v>0.51007999999999998</v>
      </c>
      <c r="C16" s="48">
        <v>5.4106000000000001E-2</v>
      </c>
      <c r="D16" s="49">
        <v>-291.95999999999998</v>
      </c>
      <c r="E16" s="49">
        <v>5.1252000000000004</v>
      </c>
      <c r="F16" s="48">
        <v>0.41199999999999998</v>
      </c>
      <c r="G16" s="49">
        <v>27.6</v>
      </c>
      <c r="H16" s="50">
        <v>2.5503000000000002E-16</v>
      </c>
      <c r="I16" s="47">
        <v>129</v>
      </c>
    </row>
    <row r="17" spans="1:9">
      <c r="A17" s="47" t="s">
        <v>264</v>
      </c>
      <c r="B17" s="48">
        <v>0.70511000000000001</v>
      </c>
      <c r="C17" s="48">
        <v>7.3802999999999994E-2</v>
      </c>
      <c r="D17" s="49">
        <v>-284.47000000000003</v>
      </c>
      <c r="E17" s="49">
        <v>6.0918999999999999</v>
      </c>
      <c r="F17" s="48">
        <v>0.63300000000000001</v>
      </c>
      <c r="G17" s="49">
        <v>22.4</v>
      </c>
      <c r="H17" s="50">
        <v>4.0481000000000002E-13</v>
      </c>
      <c r="I17" s="47">
        <v>55</v>
      </c>
    </row>
    <row r="18" spans="1:9">
      <c r="A18" s="47" t="s">
        <v>265</v>
      </c>
      <c r="B18" s="48">
        <v>0.44069000000000003</v>
      </c>
      <c r="C18" s="48">
        <v>7.4521000000000004E-2</v>
      </c>
      <c r="D18" s="49">
        <v>-293.54000000000002</v>
      </c>
      <c r="E18" s="49">
        <v>7.6645000000000003</v>
      </c>
      <c r="F18" s="48">
        <v>0.32700000000000001</v>
      </c>
      <c r="G18" s="49">
        <v>29.3</v>
      </c>
      <c r="H18" s="50">
        <v>1.03E-7</v>
      </c>
      <c r="I18" s="47">
        <v>74</v>
      </c>
    </row>
    <row r="19" spans="1:9">
      <c r="A19" s="51" t="s">
        <v>285</v>
      </c>
      <c r="B19" s="48"/>
    </row>
    <row r="20" spans="1:9">
      <c r="A20" s="47" t="s">
        <v>282</v>
      </c>
      <c r="B20" s="48">
        <v>0.73887000000000003</v>
      </c>
      <c r="C20" s="48">
        <v>0.10551000000000001</v>
      </c>
      <c r="D20" s="49">
        <v>-284.3</v>
      </c>
      <c r="E20" s="49">
        <v>6.3315000000000001</v>
      </c>
      <c r="F20" s="48">
        <v>0.5</v>
      </c>
      <c r="G20" s="49">
        <v>26.3</v>
      </c>
      <c r="H20" s="50">
        <v>6.5599999999999997E-9</v>
      </c>
      <c r="I20" s="47">
        <v>51</v>
      </c>
    </row>
    <row r="21" spans="1:9">
      <c r="A21" s="47" t="s">
        <v>268</v>
      </c>
      <c r="B21" s="48">
        <v>0.78637000000000001</v>
      </c>
      <c r="C21" s="48">
        <v>0.17138</v>
      </c>
      <c r="D21" s="49">
        <v>-279.27999999999997</v>
      </c>
      <c r="E21" s="49">
        <v>10.223000000000001</v>
      </c>
      <c r="F21" s="48">
        <v>0.438</v>
      </c>
      <c r="G21" s="49">
        <v>29.6</v>
      </c>
      <c r="H21" s="50">
        <v>9.2100000000000003E-5</v>
      </c>
      <c r="I21" s="47">
        <v>29</v>
      </c>
    </row>
    <row r="22" spans="1:9">
      <c r="A22" s="51" t="s">
        <v>271</v>
      </c>
      <c r="B22" s="48"/>
    </row>
    <row r="23" spans="1:9">
      <c r="A23" s="52" t="s">
        <v>272</v>
      </c>
      <c r="B23" s="48"/>
    </row>
    <row r="24" spans="1:9">
      <c r="A24" s="47" t="s">
        <v>286</v>
      </c>
      <c r="B24" s="48">
        <v>0.44400000000000001</v>
      </c>
      <c r="C24" s="48">
        <v>0.03</v>
      </c>
      <c r="D24" s="49">
        <v>-321</v>
      </c>
      <c r="E24" s="49">
        <v>4</v>
      </c>
      <c r="F24" s="48">
        <v>0.98599999999999999</v>
      </c>
      <c r="G24" s="49">
        <v>11</v>
      </c>
      <c r="H24" s="50">
        <v>1.1300000000000001E-7</v>
      </c>
      <c r="I24" s="47">
        <v>10</v>
      </c>
    </row>
    <row r="25" spans="1:9">
      <c r="A25" s="52" t="s">
        <v>273</v>
      </c>
      <c r="B25" s="48"/>
    </row>
    <row r="26" spans="1:9">
      <c r="A26" s="47" t="s">
        <v>287</v>
      </c>
      <c r="B26" s="48">
        <v>0.17785999999999999</v>
      </c>
      <c r="C26" s="48">
        <v>4.2999999999999997E-2</v>
      </c>
      <c r="D26" s="49">
        <v>-322.10000000000002</v>
      </c>
      <c r="E26" s="49">
        <v>8.24</v>
      </c>
      <c r="F26" s="48">
        <v>0.89200000000000002</v>
      </c>
      <c r="G26" s="49">
        <v>14</v>
      </c>
      <c r="H26" s="50">
        <v>5.5E-2</v>
      </c>
      <c r="I26" s="47">
        <v>4</v>
      </c>
    </row>
    <row r="27" spans="1:9">
      <c r="A27" s="47" t="s">
        <v>288</v>
      </c>
      <c r="B27" s="48">
        <v>0.2</v>
      </c>
      <c r="C27" s="48">
        <v>8.5000000000000006E-3</v>
      </c>
      <c r="D27" s="49">
        <v>-267.39</v>
      </c>
      <c r="E27" s="49">
        <v>5.34</v>
      </c>
      <c r="F27" s="48">
        <v>0.98899999999999999</v>
      </c>
      <c r="G27" s="49">
        <v>13</v>
      </c>
      <c r="H27" s="50">
        <v>3.96E-7</v>
      </c>
      <c r="I27" s="47">
        <v>8</v>
      </c>
    </row>
    <row r="28" spans="1:9">
      <c r="A28" s="52" t="s">
        <v>274</v>
      </c>
      <c r="B28" s="48"/>
    </row>
    <row r="29" spans="1:9">
      <c r="A29" s="9" t="s">
        <v>287</v>
      </c>
      <c r="B29" s="53">
        <v>0.55400000000000005</v>
      </c>
      <c r="C29" s="53">
        <v>4.4699999999999997E-2</v>
      </c>
      <c r="D29" s="54">
        <v>-418.54</v>
      </c>
      <c r="E29" s="54">
        <v>6.88</v>
      </c>
      <c r="F29" s="53">
        <v>0.98099999999999998</v>
      </c>
      <c r="G29" s="54">
        <v>14.5</v>
      </c>
      <c r="H29" s="55">
        <v>1.1299999999999999E-3</v>
      </c>
      <c r="I29" s="9">
        <v>5</v>
      </c>
    </row>
    <row r="30" spans="1:9">
      <c r="A30" s="18" t="s">
        <v>280</v>
      </c>
    </row>
    <row r="31" spans="1:9">
      <c r="A31" s="18" t="s">
        <v>281</v>
      </c>
    </row>
    <row r="32" spans="1:9">
      <c r="A32" s="74" t="s">
        <v>259</v>
      </c>
      <c r="B32" s="74"/>
      <c r="C32" s="74"/>
      <c r="D32" s="74"/>
    </row>
    <row r="33" spans="1:1">
      <c r="A33" s="18" t="s">
        <v>283</v>
      </c>
    </row>
  </sheetData>
  <mergeCells count="1">
    <mergeCell ref="A32:D3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workbookViewId="0">
      <selection activeCell="C2" sqref="C2"/>
    </sheetView>
  </sheetViews>
  <sheetFormatPr baseColWidth="10" defaultRowHeight="15" x14ac:dyDescent="0"/>
  <cols>
    <col min="1" max="1" width="18.6640625" customWidth="1"/>
    <col min="4" max="4" width="20.6640625" customWidth="1"/>
  </cols>
  <sheetData>
    <row r="1" spans="1:6" ht="17">
      <c r="A1" t="s">
        <v>204</v>
      </c>
    </row>
    <row r="2" spans="1:6" ht="17">
      <c r="A2" s="9" t="s">
        <v>205</v>
      </c>
      <c r="B2" s="9" t="s">
        <v>206</v>
      </c>
      <c r="C2" s="9" t="s">
        <v>207</v>
      </c>
      <c r="D2" s="9" t="s">
        <v>1</v>
      </c>
      <c r="E2" s="6" t="s">
        <v>10</v>
      </c>
      <c r="F2" s="6" t="s">
        <v>208</v>
      </c>
    </row>
    <row r="3" spans="1:6">
      <c r="A3" s="14" t="s">
        <v>209</v>
      </c>
    </row>
    <row r="4" spans="1:6">
      <c r="A4" t="s">
        <v>210</v>
      </c>
      <c r="B4">
        <v>42.3</v>
      </c>
      <c r="C4">
        <v>-71.3</v>
      </c>
      <c r="D4" t="s">
        <v>211</v>
      </c>
      <c r="E4">
        <v>-296</v>
      </c>
      <c r="F4" s="15">
        <v>-51</v>
      </c>
    </row>
    <row r="5" spans="1:6">
      <c r="A5" t="s">
        <v>212</v>
      </c>
      <c r="B5">
        <v>42.1</v>
      </c>
      <c r="C5">
        <v>-72.599999999999994</v>
      </c>
      <c r="D5" t="s">
        <v>211</v>
      </c>
      <c r="E5">
        <v>-299</v>
      </c>
      <c r="F5" s="15">
        <v>-50</v>
      </c>
    </row>
    <row r="6" spans="1:6">
      <c r="A6" t="s">
        <v>213</v>
      </c>
      <c r="B6">
        <v>42.75</v>
      </c>
      <c r="C6">
        <v>-71.5</v>
      </c>
      <c r="D6" t="s">
        <v>211</v>
      </c>
      <c r="E6">
        <v>-295</v>
      </c>
      <c r="F6" s="15">
        <v>-53</v>
      </c>
    </row>
    <row r="7" spans="1:6">
      <c r="A7" t="s">
        <v>214</v>
      </c>
      <c r="B7">
        <v>43.25</v>
      </c>
      <c r="C7">
        <v>-71</v>
      </c>
      <c r="D7" t="s">
        <v>211</v>
      </c>
      <c r="E7">
        <v>-307</v>
      </c>
      <c r="F7" s="15">
        <v>-55</v>
      </c>
    </row>
    <row r="8" spans="1:6">
      <c r="A8" t="s">
        <v>215</v>
      </c>
      <c r="B8">
        <v>53.3</v>
      </c>
      <c r="C8">
        <v>-2.2000000000000002</v>
      </c>
      <c r="D8" t="s">
        <v>216</v>
      </c>
      <c r="E8">
        <v>-319</v>
      </c>
      <c r="F8" s="15">
        <v>-51</v>
      </c>
    </row>
    <row r="9" spans="1:6">
      <c r="A9" t="s">
        <v>109</v>
      </c>
      <c r="B9">
        <v>49.4</v>
      </c>
      <c r="C9">
        <v>8.6999999999999993</v>
      </c>
      <c r="D9" t="s">
        <v>92</v>
      </c>
      <c r="E9">
        <v>-312</v>
      </c>
      <c r="F9" s="15">
        <v>-56</v>
      </c>
    </row>
    <row r="10" spans="1:6">
      <c r="A10" s="14" t="s">
        <v>217</v>
      </c>
    </row>
    <row r="11" spans="1:6">
      <c r="A11" t="s">
        <v>218</v>
      </c>
      <c r="B11">
        <v>40.799999999999997</v>
      </c>
      <c r="C11">
        <v>-77.900000000000006</v>
      </c>
      <c r="D11" t="s">
        <v>79</v>
      </c>
      <c r="E11">
        <v>-347</v>
      </c>
      <c r="F11" s="14">
        <v>-32</v>
      </c>
    </row>
    <row r="12" spans="1:6">
      <c r="A12" t="s">
        <v>219</v>
      </c>
      <c r="B12" t="s">
        <v>220</v>
      </c>
      <c r="C12" t="s">
        <v>220</v>
      </c>
      <c r="D12" t="s">
        <v>221</v>
      </c>
      <c r="E12">
        <v>-404</v>
      </c>
      <c r="F12" s="16">
        <v>-128</v>
      </c>
    </row>
    <row r="13" spans="1:6">
      <c r="A13" t="s">
        <v>222</v>
      </c>
      <c r="B13">
        <v>36.1</v>
      </c>
      <c r="C13">
        <v>140.1</v>
      </c>
      <c r="D13" t="s">
        <v>223</v>
      </c>
      <c r="E13">
        <v>-358</v>
      </c>
      <c r="F13" s="14">
        <v>-32</v>
      </c>
    </row>
    <row r="14" spans="1:6">
      <c r="A14" t="s">
        <v>109</v>
      </c>
      <c r="B14">
        <v>49.4</v>
      </c>
      <c r="C14">
        <v>8.6999999999999993</v>
      </c>
      <c r="D14" t="s">
        <v>92</v>
      </c>
      <c r="E14">
        <v>-298</v>
      </c>
      <c r="F14" s="16">
        <v>-56</v>
      </c>
    </row>
    <row r="15" spans="1:6">
      <c r="A15" s="9" t="s">
        <v>224</v>
      </c>
      <c r="B15" s="9" t="s">
        <v>220</v>
      </c>
      <c r="C15" s="9" t="s">
        <v>220</v>
      </c>
      <c r="D15" t="s">
        <v>221</v>
      </c>
      <c r="E15" s="9">
        <v>-308</v>
      </c>
      <c r="F15" s="17">
        <v>-70</v>
      </c>
    </row>
    <row r="16" spans="1:6" ht="17">
      <c r="A16" s="18" t="s">
        <v>260</v>
      </c>
    </row>
    <row r="17" spans="1:1" ht="17">
      <c r="A17" s="19" t="s">
        <v>225</v>
      </c>
    </row>
    <row r="18" spans="1:1" ht="17">
      <c r="A18" s="16" t="s">
        <v>226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0"/>
  <sheetViews>
    <sheetView tabSelected="1" workbookViewId="0">
      <selection activeCell="M29" sqref="M29"/>
    </sheetView>
  </sheetViews>
  <sheetFormatPr baseColWidth="10" defaultRowHeight="15" x14ac:dyDescent="0"/>
  <cols>
    <col min="1" max="1" width="25.83203125" style="29" customWidth="1"/>
    <col min="2" max="16384" width="10.83203125" style="29"/>
  </cols>
  <sheetData>
    <row r="1" spans="1:24" ht="17">
      <c r="A1" s="18" t="s">
        <v>297</v>
      </c>
      <c r="B1" s="18"/>
      <c r="C1" s="56"/>
      <c r="D1" s="57"/>
      <c r="E1" s="57"/>
      <c r="F1" s="56"/>
      <c r="G1" s="57"/>
      <c r="H1" s="58"/>
      <c r="I1" s="18"/>
      <c r="J1" s="18"/>
      <c r="K1" s="18"/>
      <c r="L1" s="18"/>
      <c r="M1" s="18"/>
      <c r="N1" s="18"/>
      <c r="O1" s="18"/>
      <c r="P1" s="18"/>
      <c r="Q1" s="18"/>
      <c r="R1" s="18"/>
      <c r="S1" s="18"/>
      <c r="T1" s="18"/>
      <c r="U1" s="18"/>
      <c r="V1" s="18"/>
      <c r="W1" s="18"/>
      <c r="X1" s="18"/>
    </row>
    <row r="2" spans="1:24" ht="16">
      <c r="A2" s="63" t="s">
        <v>276</v>
      </c>
      <c r="B2" s="63" t="s">
        <v>277</v>
      </c>
      <c r="C2" s="64" t="s">
        <v>266</v>
      </c>
      <c r="D2" s="65" t="s">
        <v>278</v>
      </c>
      <c r="E2" s="65" t="s">
        <v>266</v>
      </c>
      <c r="F2" s="64" t="s">
        <v>279</v>
      </c>
      <c r="G2" s="65" t="s">
        <v>262</v>
      </c>
      <c r="H2" s="66" t="s">
        <v>263</v>
      </c>
      <c r="I2" s="67" t="s">
        <v>12</v>
      </c>
      <c r="J2" s="18"/>
      <c r="K2" s="18"/>
      <c r="L2" s="18"/>
      <c r="M2" s="18"/>
      <c r="N2" s="18"/>
      <c r="O2" s="18"/>
      <c r="P2" s="18"/>
      <c r="Q2" s="18"/>
      <c r="R2" s="18"/>
      <c r="S2" s="18"/>
      <c r="T2" s="18"/>
      <c r="U2" s="18"/>
      <c r="V2" s="18"/>
      <c r="W2" s="18"/>
      <c r="X2" s="18"/>
    </row>
    <row r="3" spans="1:24" ht="17">
      <c r="A3" s="46" t="s">
        <v>290</v>
      </c>
      <c r="B3" s="18"/>
      <c r="C3" s="56"/>
      <c r="D3" s="57"/>
      <c r="E3" s="57"/>
      <c r="F3" s="56"/>
      <c r="G3" s="57"/>
      <c r="H3" s="58"/>
      <c r="I3" s="18"/>
      <c r="J3" s="18"/>
      <c r="K3" s="18"/>
      <c r="L3" s="18"/>
      <c r="M3" s="18"/>
      <c r="N3" s="18"/>
      <c r="O3" s="18"/>
      <c r="P3" s="18"/>
      <c r="Q3" s="18"/>
      <c r="R3" s="18"/>
      <c r="S3" s="18"/>
      <c r="T3" s="18"/>
      <c r="U3" s="18"/>
      <c r="V3" s="18"/>
      <c r="W3" s="18"/>
      <c r="X3" s="18"/>
    </row>
    <row r="4" spans="1:24" s="62" customFormat="1">
      <c r="A4" s="59" t="s">
        <v>275</v>
      </c>
      <c r="B4" s="60">
        <v>-0.71</v>
      </c>
      <c r="C4" s="60">
        <v>0.33</v>
      </c>
      <c r="D4" s="71">
        <v>-342.11</v>
      </c>
      <c r="E4" s="71">
        <v>20.8</v>
      </c>
      <c r="F4" s="60">
        <v>3.5000000000000003E-2</v>
      </c>
      <c r="G4" s="61">
        <v>27</v>
      </c>
      <c r="H4" s="68">
        <v>3.3300000000000003E-2</v>
      </c>
      <c r="I4" s="59">
        <v>129</v>
      </c>
      <c r="J4" s="59"/>
      <c r="K4" s="59"/>
      <c r="L4" s="59"/>
      <c r="M4" s="59"/>
      <c r="N4" s="59"/>
      <c r="O4" s="59"/>
      <c r="P4" s="59"/>
      <c r="Q4" s="59"/>
      <c r="R4" s="59"/>
      <c r="S4" s="59"/>
      <c r="T4" s="59"/>
      <c r="U4" s="59"/>
      <c r="V4" s="59"/>
      <c r="W4" s="59"/>
      <c r="X4" s="59"/>
    </row>
    <row r="5" spans="1:24">
      <c r="A5" s="18" t="s">
        <v>264</v>
      </c>
      <c r="B5" s="56">
        <v>-0.81799999999999995</v>
      </c>
      <c r="C5" s="56">
        <v>0.47</v>
      </c>
      <c r="D5" s="72">
        <v>-354.72</v>
      </c>
      <c r="E5" s="72">
        <v>29.31</v>
      </c>
      <c r="F5" s="56">
        <v>5.3699999999999998E-2</v>
      </c>
      <c r="G5" s="57">
        <v>23.4</v>
      </c>
      <c r="H5" s="69">
        <v>8.8599999999999998E-2</v>
      </c>
      <c r="I5" s="18">
        <v>55</v>
      </c>
      <c r="J5" s="18"/>
      <c r="K5" s="18"/>
      <c r="L5" s="18"/>
      <c r="M5" s="18"/>
      <c r="N5" s="18"/>
      <c r="O5" s="18"/>
      <c r="P5" s="18"/>
      <c r="Q5" s="18"/>
      <c r="R5" s="18"/>
      <c r="S5" s="18"/>
      <c r="T5" s="18"/>
      <c r="U5" s="18"/>
      <c r="V5" s="18"/>
      <c r="W5" s="18"/>
      <c r="X5" s="18"/>
    </row>
    <row r="6" spans="1:24">
      <c r="A6" s="18" t="s">
        <v>265</v>
      </c>
      <c r="B6" s="56">
        <v>-0.53120000000000001</v>
      </c>
      <c r="C6" s="56">
        <v>0.44700000000000001</v>
      </c>
      <c r="D6" s="72">
        <v>-326.37</v>
      </c>
      <c r="E6" s="72">
        <v>28.49</v>
      </c>
      <c r="F6" s="56">
        <v>1.9199999999999998E-2</v>
      </c>
      <c r="G6" s="57">
        <v>28.8</v>
      </c>
      <c r="H6" s="69">
        <v>0.23899999999999999</v>
      </c>
      <c r="I6" s="18">
        <v>74</v>
      </c>
      <c r="J6" s="18"/>
      <c r="K6" s="18"/>
      <c r="L6" s="18"/>
      <c r="M6" s="18"/>
      <c r="N6" s="18"/>
      <c r="O6" s="18"/>
      <c r="P6" s="18"/>
      <c r="Q6" s="18"/>
      <c r="R6" s="18"/>
      <c r="S6" s="18"/>
      <c r="T6" s="18"/>
      <c r="U6" s="18"/>
      <c r="V6" s="18"/>
      <c r="W6" s="18"/>
      <c r="X6" s="18"/>
    </row>
    <row r="7" spans="1:24" ht="17">
      <c r="A7" s="46" t="s">
        <v>291</v>
      </c>
      <c r="B7" s="56"/>
      <c r="C7" s="56"/>
      <c r="D7" s="57"/>
      <c r="E7" s="57"/>
      <c r="F7" s="56"/>
      <c r="G7" s="57"/>
      <c r="H7" s="69"/>
      <c r="I7" s="18"/>
      <c r="J7" s="18"/>
      <c r="K7" s="18"/>
      <c r="L7" s="18"/>
      <c r="M7" s="18"/>
      <c r="N7" s="18"/>
      <c r="O7" s="18"/>
      <c r="P7" s="18"/>
      <c r="Q7" s="18"/>
      <c r="R7" s="18"/>
      <c r="S7" s="18"/>
      <c r="T7" s="18"/>
      <c r="U7" s="18"/>
      <c r="V7" s="18"/>
      <c r="W7" s="18"/>
      <c r="X7" s="18"/>
    </row>
    <row r="8" spans="1:24">
      <c r="A8" s="18" t="s">
        <v>275</v>
      </c>
      <c r="B8" s="72">
        <v>441.83</v>
      </c>
      <c r="C8" s="72">
        <v>247.76</v>
      </c>
      <c r="D8" s="72">
        <v>-766.38</v>
      </c>
      <c r="E8" s="72">
        <v>261.32</v>
      </c>
      <c r="F8" s="56">
        <v>4.8000000000000001E-2</v>
      </c>
      <c r="G8" s="57">
        <v>25.5</v>
      </c>
      <c r="H8" s="69">
        <v>7.9399999999999998E-2</v>
      </c>
      <c r="I8" s="18">
        <v>65</v>
      </c>
      <c r="J8" s="18"/>
      <c r="K8" s="18"/>
      <c r="L8" s="18"/>
      <c r="M8" s="18"/>
      <c r="N8" s="18"/>
      <c r="O8" s="18"/>
      <c r="P8" s="18"/>
      <c r="Q8" s="18"/>
      <c r="R8" s="18"/>
      <c r="S8" s="18"/>
      <c r="T8" s="18"/>
      <c r="U8" s="18"/>
      <c r="V8" s="18"/>
      <c r="W8" s="18"/>
      <c r="X8" s="18"/>
    </row>
    <row r="9" spans="1:24" s="62" customFormat="1">
      <c r="A9" s="59" t="s">
        <v>264</v>
      </c>
      <c r="B9" s="71">
        <v>821.68</v>
      </c>
      <c r="C9" s="71">
        <v>328.57</v>
      </c>
      <c r="D9" s="71">
        <v>-1171.3</v>
      </c>
      <c r="E9" s="71">
        <v>346.88</v>
      </c>
      <c r="F9" s="60">
        <v>0.188</v>
      </c>
      <c r="G9" s="61">
        <v>25.6</v>
      </c>
      <c r="H9" s="68">
        <v>1.8800000000000001E-2</v>
      </c>
      <c r="I9" s="59">
        <v>29</v>
      </c>
      <c r="J9" s="59"/>
      <c r="K9" s="59"/>
      <c r="L9" s="59"/>
      <c r="M9" s="59"/>
      <c r="N9" s="59"/>
      <c r="O9" s="59"/>
      <c r="P9" s="59"/>
      <c r="Q9" s="59"/>
      <c r="R9" s="59"/>
      <c r="S9" s="59"/>
      <c r="T9" s="59"/>
      <c r="U9" s="59"/>
      <c r="V9" s="59"/>
      <c r="W9" s="59"/>
      <c r="X9" s="59"/>
    </row>
    <row r="10" spans="1:24">
      <c r="A10" s="18" t="s">
        <v>265</v>
      </c>
      <c r="B10" s="72">
        <v>-26.116</v>
      </c>
      <c r="C10" s="72">
        <v>367.61</v>
      </c>
      <c r="D10" s="72">
        <v>-270</v>
      </c>
      <c r="E10" s="72">
        <v>387.45</v>
      </c>
      <c r="F10" s="56">
        <v>1.4799999999999999E-4</v>
      </c>
      <c r="G10" s="57">
        <v>24.7</v>
      </c>
      <c r="H10" s="69">
        <v>0.94399999999999995</v>
      </c>
      <c r="I10" s="18">
        <v>36</v>
      </c>
      <c r="J10" s="18"/>
      <c r="K10" s="18"/>
      <c r="L10" s="18"/>
      <c r="M10" s="18"/>
      <c r="N10" s="18"/>
      <c r="O10" s="18"/>
      <c r="P10" s="18"/>
      <c r="Q10" s="18"/>
      <c r="R10" s="18"/>
      <c r="S10" s="18"/>
      <c r="T10" s="18"/>
      <c r="U10" s="18"/>
      <c r="V10" s="18"/>
      <c r="W10" s="18"/>
      <c r="X10" s="18"/>
    </row>
    <row r="11" spans="1:24" ht="17">
      <c r="A11" s="46" t="s">
        <v>292</v>
      </c>
      <c r="B11" s="56"/>
      <c r="C11" s="56"/>
      <c r="D11" s="57"/>
      <c r="E11" s="57"/>
      <c r="F11" s="56"/>
      <c r="G11" s="57"/>
      <c r="H11" s="69"/>
      <c r="I11" s="18"/>
      <c r="J11" s="18"/>
      <c r="K11" s="18"/>
      <c r="L11" s="18"/>
      <c r="M11" s="18"/>
      <c r="N11" s="18"/>
      <c r="O11" s="18"/>
      <c r="P11" s="18"/>
      <c r="Q11" s="18"/>
      <c r="R11" s="18"/>
      <c r="S11" s="18"/>
      <c r="T11" s="18"/>
      <c r="U11" s="18"/>
      <c r="V11" s="18"/>
      <c r="W11" s="18"/>
      <c r="X11" s="18"/>
    </row>
    <row r="12" spans="1:24">
      <c r="A12" s="18" t="s">
        <v>275</v>
      </c>
      <c r="B12" s="56">
        <v>0.79900000000000004</v>
      </c>
      <c r="C12" s="56">
        <v>0.443</v>
      </c>
      <c r="D12" s="72">
        <v>-290.89999999999998</v>
      </c>
      <c r="E12" s="72">
        <v>6.13</v>
      </c>
      <c r="F12" s="56">
        <v>4.9099999999999998E-2</v>
      </c>
      <c r="G12" s="57">
        <v>25.5</v>
      </c>
      <c r="H12" s="69">
        <v>7.5899999999999995E-2</v>
      </c>
      <c r="I12" s="18">
        <v>65</v>
      </c>
      <c r="J12" s="18"/>
      <c r="K12" s="18"/>
      <c r="L12" s="18"/>
      <c r="M12" s="18"/>
      <c r="N12" s="18"/>
      <c r="O12" s="18"/>
      <c r="P12" s="18"/>
      <c r="Q12" s="18"/>
      <c r="R12" s="18"/>
      <c r="S12" s="18"/>
      <c r="T12" s="18"/>
      <c r="U12" s="18"/>
      <c r="V12" s="18"/>
      <c r="W12" s="18"/>
      <c r="X12" s="18"/>
    </row>
    <row r="13" spans="1:24" s="62" customFormat="1">
      <c r="A13" s="59" t="s">
        <v>264</v>
      </c>
      <c r="B13" s="60">
        <v>1.93</v>
      </c>
      <c r="C13" s="60">
        <v>0.58899999999999997</v>
      </c>
      <c r="D13" s="71">
        <v>-283.38</v>
      </c>
      <c r="E13" s="71">
        <v>7.71</v>
      </c>
      <c r="F13" s="60">
        <v>0.28399999999999997</v>
      </c>
      <c r="G13" s="61">
        <v>24</v>
      </c>
      <c r="H13" s="68">
        <v>2.8900000000000002E-3</v>
      </c>
      <c r="I13" s="59">
        <v>29</v>
      </c>
      <c r="J13" s="59"/>
      <c r="K13" s="59"/>
      <c r="L13" s="59"/>
      <c r="M13" s="59"/>
      <c r="N13" s="59"/>
      <c r="O13" s="59"/>
      <c r="P13" s="59"/>
      <c r="Q13" s="59"/>
      <c r="R13" s="59"/>
      <c r="S13" s="59"/>
      <c r="T13" s="59"/>
      <c r="U13" s="59"/>
      <c r="V13" s="59"/>
      <c r="W13" s="59"/>
      <c r="X13" s="59"/>
    </row>
    <row r="14" spans="1:24">
      <c r="A14" s="18" t="s">
        <v>265</v>
      </c>
      <c r="B14" s="56">
        <v>-0.21299999999999999</v>
      </c>
      <c r="C14" s="56">
        <v>0.61899999999999999</v>
      </c>
      <c r="D14" s="72">
        <v>-300.25</v>
      </c>
      <c r="E14" s="72">
        <v>8.93</v>
      </c>
      <c r="F14" s="56">
        <v>3.48E-3</v>
      </c>
      <c r="G14" s="57">
        <v>24.6</v>
      </c>
      <c r="H14" s="69">
        <v>0.73299999999999998</v>
      </c>
      <c r="I14" s="18">
        <v>36</v>
      </c>
      <c r="J14" s="18"/>
      <c r="K14" s="18"/>
      <c r="L14" s="18"/>
      <c r="M14" s="18"/>
      <c r="N14" s="18"/>
      <c r="O14" s="18"/>
      <c r="P14" s="18"/>
      <c r="Q14" s="18"/>
      <c r="R14" s="18"/>
      <c r="S14" s="18"/>
      <c r="T14" s="18"/>
      <c r="U14" s="18"/>
      <c r="V14" s="18"/>
      <c r="W14" s="18"/>
      <c r="X14" s="18"/>
    </row>
    <row r="15" spans="1:24" ht="17">
      <c r="A15" s="19" t="s">
        <v>293</v>
      </c>
      <c r="B15" s="56"/>
      <c r="C15" s="56"/>
      <c r="D15" s="57"/>
      <c r="E15" s="57"/>
      <c r="F15" s="56"/>
      <c r="G15" s="57"/>
      <c r="H15" s="69"/>
      <c r="I15" s="18"/>
      <c r="J15" s="18"/>
      <c r="K15" s="18"/>
      <c r="L15" s="18"/>
      <c r="M15" s="18"/>
      <c r="N15" s="18"/>
      <c r="O15" s="18"/>
      <c r="P15" s="18"/>
      <c r="Q15" s="18"/>
      <c r="R15" s="18"/>
      <c r="S15" s="18"/>
      <c r="T15" s="18"/>
      <c r="U15" s="18"/>
      <c r="V15" s="18"/>
      <c r="W15" s="18"/>
      <c r="X15" s="18"/>
    </row>
    <row r="16" spans="1:24">
      <c r="A16" s="18" t="s">
        <v>275</v>
      </c>
      <c r="B16" s="56">
        <v>-0.36499999999999999</v>
      </c>
      <c r="C16" s="56">
        <v>0.52</v>
      </c>
      <c r="D16" s="72">
        <v>-315.04000000000002</v>
      </c>
      <c r="E16" s="72">
        <v>32.909999999999997</v>
      </c>
      <c r="F16" s="56">
        <v>8.26E-3</v>
      </c>
      <c r="G16" s="57">
        <v>28.5</v>
      </c>
      <c r="H16" s="69">
        <v>0.48599999999999999</v>
      </c>
      <c r="I16" s="18">
        <v>61</v>
      </c>
      <c r="J16" s="18"/>
      <c r="K16" s="18"/>
      <c r="L16" s="18"/>
      <c r="M16" s="18"/>
      <c r="N16" s="18"/>
      <c r="O16" s="18"/>
      <c r="P16" s="18"/>
      <c r="Q16" s="18"/>
      <c r="R16" s="18"/>
      <c r="S16" s="18"/>
      <c r="T16" s="18"/>
      <c r="U16" s="18"/>
      <c r="V16" s="18"/>
      <c r="W16" s="18"/>
      <c r="X16" s="18"/>
    </row>
    <row r="17" spans="1:24">
      <c r="A17" s="18" t="s">
        <v>264</v>
      </c>
      <c r="B17" s="56">
        <v>-0.77</v>
      </c>
      <c r="C17" s="56">
        <v>0.64900000000000002</v>
      </c>
      <c r="D17" s="72">
        <v>-349.64</v>
      </c>
      <c r="E17" s="72">
        <v>40.94</v>
      </c>
      <c r="F17" s="56">
        <v>5.1999999999999998E-2</v>
      </c>
      <c r="G17" s="57">
        <v>25.5</v>
      </c>
      <c r="H17" s="69">
        <v>0.24099999999999999</v>
      </c>
      <c r="I17" s="18">
        <v>28</v>
      </c>
      <c r="J17" s="18"/>
      <c r="K17" s="18"/>
      <c r="L17" s="18"/>
      <c r="M17" s="18"/>
      <c r="N17" s="18"/>
      <c r="O17" s="18"/>
      <c r="P17" s="18"/>
      <c r="Q17" s="18"/>
      <c r="R17" s="18"/>
      <c r="S17" s="18"/>
      <c r="T17" s="18"/>
      <c r="U17" s="18"/>
      <c r="V17" s="18"/>
      <c r="W17" s="18"/>
      <c r="X17" s="18"/>
    </row>
    <row r="18" spans="1:24">
      <c r="A18" s="18" t="s">
        <v>265</v>
      </c>
      <c r="B18" s="56">
        <v>0.16</v>
      </c>
      <c r="C18" s="56">
        <v>0.76600000000000001</v>
      </c>
      <c r="D18" s="72">
        <v>-274.51</v>
      </c>
      <c r="E18" s="72">
        <v>48.59</v>
      </c>
      <c r="F18" s="56">
        <v>1.42E-3</v>
      </c>
      <c r="G18" s="57">
        <v>29.1</v>
      </c>
      <c r="H18" s="69">
        <v>0.83499999999999996</v>
      </c>
      <c r="I18" s="18">
        <v>33</v>
      </c>
      <c r="J18" s="18"/>
      <c r="K18" s="18"/>
      <c r="L18" s="18"/>
      <c r="M18" s="18"/>
      <c r="N18" s="18"/>
      <c r="O18" s="18"/>
      <c r="P18" s="18"/>
      <c r="Q18" s="18"/>
      <c r="R18" s="18"/>
      <c r="S18" s="18"/>
      <c r="T18" s="18"/>
      <c r="U18" s="18"/>
      <c r="V18" s="18"/>
      <c r="W18" s="18"/>
      <c r="X18" s="18"/>
    </row>
    <row r="19" spans="1:24" ht="17">
      <c r="A19" s="19" t="s">
        <v>294</v>
      </c>
      <c r="B19" s="56"/>
      <c r="C19" s="56"/>
      <c r="D19" s="57"/>
      <c r="E19" s="57"/>
      <c r="F19" s="56"/>
      <c r="G19" s="57"/>
      <c r="H19" s="69"/>
      <c r="I19" s="18"/>
      <c r="J19" s="18"/>
      <c r="K19" s="18"/>
      <c r="L19" s="18"/>
      <c r="M19" s="18"/>
      <c r="N19" s="18"/>
      <c r="O19" s="18"/>
      <c r="P19" s="18"/>
      <c r="Q19" s="18"/>
      <c r="R19" s="18"/>
      <c r="S19" s="18"/>
      <c r="T19" s="18"/>
      <c r="U19" s="18"/>
      <c r="V19" s="18"/>
      <c r="W19" s="18"/>
      <c r="X19" s="18"/>
    </row>
    <row r="20" spans="1:24">
      <c r="A20" s="18" t="s">
        <v>275</v>
      </c>
      <c r="B20" s="72">
        <v>146.84</v>
      </c>
      <c r="C20" s="72">
        <v>262.74</v>
      </c>
      <c r="D20" s="72">
        <v>-454.54</v>
      </c>
      <c r="E20" s="72">
        <v>277.45</v>
      </c>
      <c r="F20" s="56">
        <v>7.3800000000000003E-3</v>
      </c>
      <c r="G20" s="57">
        <v>21.2</v>
      </c>
      <c r="H20" s="69">
        <v>0.57899999999999996</v>
      </c>
      <c r="I20" s="18">
        <v>44</v>
      </c>
      <c r="J20" s="18"/>
      <c r="K20" s="18"/>
      <c r="L20" s="18"/>
      <c r="M20" s="18"/>
      <c r="N20" s="18"/>
      <c r="O20" s="18"/>
      <c r="P20" s="18"/>
      <c r="Q20" s="18"/>
      <c r="R20" s="18"/>
      <c r="S20" s="18"/>
      <c r="T20" s="18"/>
      <c r="U20" s="18"/>
      <c r="V20" s="18"/>
      <c r="W20" s="18"/>
      <c r="X20" s="18"/>
    </row>
    <row r="21" spans="1:24">
      <c r="A21" s="18" t="s">
        <v>264</v>
      </c>
      <c r="B21" s="72">
        <v>444.73</v>
      </c>
      <c r="C21" s="72">
        <v>370.47</v>
      </c>
      <c r="D21" s="72">
        <v>-770.26</v>
      </c>
      <c r="E21" s="72">
        <v>391.06</v>
      </c>
      <c r="F21" s="56">
        <v>6.7199999999999996E-2</v>
      </c>
      <c r="G21" s="57">
        <v>24.1</v>
      </c>
      <c r="H21" s="69">
        <v>0.24399999999999999</v>
      </c>
      <c r="I21" s="18">
        <v>22</v>
      </c>
      <c r="J21" s="18"/>
      <c r="K21" s="18"/>
      <c r="L21" s="18"/>
      <c r="M21" s="18"/>
      <c r="N21" s="18"/>
      <c r="O21" s="18"/>
      <c r="P21" s="18"/>
      <c r="Q21" s="18"/>
      <c r="R21" s="18"/>
      <c r="S21" s="18"/>
      <c r="T21" s="18"/>
      <c r="U21" s="18"/>
      <c r="V21" s="18"/>
      <c r="W21" s="18"/>
      <c r="X21" s="18"/>
    </row>
    <row r="22" spans="1:24">
      <c r="A22" s="18" t="s">
        <v>265</v>
      </c>
      <c r="B22" s="72">
        <v>-420.15</v>
      </c>
      <c r="C22" s="72">
        <v>365.9</v>
      </c>
      <c r="D22" s="72">
        <v>145.68</v>
      </c>
      <c r="E22" s="72">
        <v>386.5</v>
      </c>
      <c r="F22" s="56">
        <v>6.1899999999999997E-2</v>
      </c>
      <c r="G22" s="57">
        <v>17.399999999999999</v>
      </c>
      <c r="H22" s="69">
        <v>0.26400000000000001</v>
      </c>
      <c r="I22" s="18">
        <v>22</v>
      </c>
      <c r="J22" s="18"/>
      <c r="K22" s="18"/>
      <c r="L22" s="18"/>
      <c r="M22" s="18"/>
      <c r="N22" s="18"/>
      <c r="O22" s="18"/>
      <c r="P22" s="18"/>
      <c r="Q22" s="18"/>
      <c r="R22" s="18"/>
      <c r="S22" s="18"/>
      <c r="T22" s="18"/>
      <c r="U22" s="18"/>
      <c r="V22" s="18"/>
      <c r="W22" s="18"/>
      <c r="X22" s="18"/>
    </row>
    <row r="23" spans="1:24" ht="17">
      <c r="A23" s="19" t="s">
        <v>295</v>
      </c>
      <c r="B23" s="56"/>
      <c r="C23" s="56"/>
      <c r="D23" s="57"/>
      <c r="E23" s="57"/>
      <c r="F23" s="56"/>
      <c r="G23" s="57"/>
      <c r="H23" s="69"/>
      <c r="I23" s="18"/>
      <c r="J23" s="18"/>
      <c r="K23" s="18"/>
      <c r="L23" s="18"/>
      <c r="M23" s="18"/>
      <c r="N23" s="18"/>
      <c r="O23" s="18"/>
      <c r="P23" s="18"/>
      <c r="Q23" s="18"/>
      <c r="R23" s="18"/>
      <c r="S23" s="18"/>
      <c r="T23" s="18"/>
      <c r="U23" s="18"/>
      <c r="V23" s="18"/>
      <c r="W23" s="18"/>
      <c r="X23" s="18"/>
    </row>
    <row r="24" spans="1:24">
      <c r="A24" s="18" t="s">
        <v>275</v>
      </c>
      <c r="B24" s="56">
        <v>0.252</v>
      </c>
      <c r="C24" s="56">
        <v>0.52600000000000002</v>
      </c>
      <c r="D24" s="72">
        <v>-296.77</v>
      </c>
      <c r="E24" s="72">
        <v>6.52</v>
      </c>
      <c r="F24" s="56">
        <v>5.4599999999999996E-3</v>
      </c>
      <c r="G24" s="57">
        <v>21.2</v>
      </c>
      <c r="H24" s="69">
        <v>0.63400000000000001</v>
      </c>
      <c r="I24" s="18">
        <v>44</v>
      </c>
      <c r="J24" s="18"/>
      <c r="K24" s="18"/>
      <c r="L24" s="18"/>
      <c r="M24" s="18"/>
      <c r="N24" s="18"/>
      <c r="O24" s="18"/>
      <c r="P24" s="18"/>
      <c r="Q24" s="18"/>
      <c r="R24" s="18"/>
      <c r="S24" s="18"/>
      <c r="T24" s="18"/>
      <c r="U24" s="18"/>
      <c r="V24" s="18"/>
      <c r="W24" s="18"/>
      <c r="X24" s="18"/>
    </row>
    <row r="25" spans="1:24">
      <c r="A25" s="18" t="s">
        <v>264</v>
      </c>
      <c r="B25" s="56">
        <v>1.006</v>
      </c>
      <c r="C25" s="56">
        <v>0.81759999999999999</v>
      </c>
      <c r="D25" s="72">
        <v>-289.95</v>
      </c>
      <c r="E25" s="72">
        <v>10.23</v>
      </c>
      <c r="F25" s="56">
        <v>7.0000000000000007E-2</v>
      </c>
      <c r="G25" s="57">
        <v>24</v>
      </c>
      <c r="H25" s="69">
        <v>0.23300000000000001</v>
      </c>
      <c r="I25" s="18">
        <v>22</v>
      </c>
      <c r="J25" s="18"/>
      <c r="K25" s="18"/>
      <c r="L25" s="18"/>
      <c r="M25" s="18"/>
      <c r="N25" s="18"/>
      <c r="O25" s="18"/>
      <c r="P25" s="18"/>
      <c r="Q25" s="18"/>
      <c r="R25" s="18"/>
      <c r="S25" s="18"/>
      <c r="T25" s="18"/>
      <c r="U25" s="18"/>
      <c r="V25" s="18"/>
      <c r="W25" s="18"/>
      <c r="X25" s="18"/>
    </row>
    <row r="26" spans="1:24">
      <c r="A26" s="63" t="s">
        <v>265</v>
      </c>
      <c r="B26" s="64">
        <v>-0.60599999999999998</v>
      </c>
      <c r="C26" s="64">
        <v>0.63700000000000001</v>
      </c>
      <c r="D26" s="73">
        <v>-304.66000000000003</v>
      </c>
      <c r="E26" s="73">
        <v>7.82</v>
      </c>
      <c r="F26" s="64">
        <v>4.3299999999999998E-2</v>
      </c>
      <c r="G26" s="65">
        <v>17.600000000000001</v>
      </c>
      <c r="H26" s="70">
        <v>0.35299999999999998</v>
      </c>
      <c r="I26" s="63">
        <v>22</v>
      </c>
      <c r="J26" s="18"/>
      <c r="K26" s="18"/>
      <c r="L26" s="18"/>
      <c r="M26" s="18"/>
      <c r="N26" s="18"/>
      <c r="O26" s="18"/>
      <c r="P26" s="18"/>
      <c r="Q26" s="18"/>
      <c r="R26" s="18"/>
      <c r="S26" s="18"/>
      <c r="T26" s="18"/>
      <c r="U26" s="18"/>
      <c r="V26" s="18"/>
      <c r="W26" s="18"/>
      <c r="X26" s="18"/>
    </row>
    <row r="27" spans="1:24">
      <c r="A27" s="18" t="s">
        <v>280</v>
      </c>
      <c r="B27" s="18"/>
      <c r="C27" s="56"/>
      <c r="D27" s="57"/>
      <c r="E27" s="57"/>
      <c r="F27" s="56"/>
      <c r="G27" s="57"/>
      <c r="H27" s="58"/>
      <c r="I27" s="18"/>
      <c r="J27" s="18"/>
      <c r="K27" s="18"/>
      <c r="L27" s="18"/>
      <c r="M27" s="18"/>
      <c r="N27" s="18"/>
      <c r="O27" s="18"/>
      <c r="P27" s="18"/>
      <c r="Q27" s="18"/>
      <c r="R27" s="18"/>
      <c r="S27" s="18"/>
      <c r="T27" s="18"/>
      <c r="U27" s="18"/>
      <c r="V27" s="18"/>
      <c r="W27" s="18"/>
      <c r="X27" s="18"/>
    </row>
    <row r="28" spans="1:24">
      <c r="A28" s="18" t="s">
        <v>281</v>
      </c>
      <c r="B28" s="18"/>
      <c r="C28" s="56"/>
      <c r="D28" s="57"/>
      <c r="E28" s="57"/>
      <c r="F28" s="56"/>
      <c r="G28" s="57"/>
      <c r="H28" s="58"/>
      <c r="I28" s="18"/>
      <c r="J28" s="18"/>
      <c r="K28" s="18"/>
      <c r="L28" s="18"/>
      <c r="M28" s="18"/>
      <c r="N28" s="18"/>
      <c r="O28" s="18"/>
      <c r="P28" s="18"/>
      <c r="Q28" s="18"/>
      <c r="R28" s="18"/>
      <c r="S28" s="18"/>
      <c r="T28" s="18"/>
      <c r="U28" s="18"/>
      <c r="V28" s="18"/>
      <c r="W28" s="18"/>
      <c r="X28" s="18"/>
    </row>
    <row r="29" spans="1:24">
      <c r="A29" s="43" t="s">
        <v>259</v>
      </c>
      <c r="B29" s="43"/>
      <c r="C29" s="43"/>
      <c r="D29" s="43"/>
      <c r="E29" s="57"/>
      <c r="F29" s="56"/>
      <c r="G29" s="57"/>
      <c r="H29" s="58"/>
      <c r="I29" s="18"/>
      <c r="J29" s="18"/>
      <c r="K29" s="18"/>
      <c r="L29" s="18"/>
      <c r="M29" s="18"/>
      <c r="N29" s="18"/>
      <c r="O29" s="18"/>
      <c r="P29" s="18"/>
      <c r="Q29" s="18"/>
      <c r="R29" s="18"/>
      <c r="S29" s="18"/>
      <c r="T29" s="18"/>
      <c r="U29" s="18"/>
      <c r="V29" s="18"/>
      <c r="W29" s="18"/>
      <c r="X29" s="18"/>
    </row>
    <row r="30" spans="1:24">
      <c r="A30" s="62" t="s">
        <v>296</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Table S1</vt:lpstr>
      <vt:lpstr>Table S2</vt:lpstr>
      <vt:lpstr>Table S3</vt:lpstr>
      <vt:lpstr>Table S4</vt:lpstr>
    </vt:vector>
  </TitlesOfParts>
  <Company>Yale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Douglas</dc:creator>
  <cp:lastModifiedBy>Peter Douglas</cp:lastModifiedBy>
  <dcterms:created xsi:type="dcterms:W3CDTF">2020-11-05T16:19:08Z</dcterms:created>
  <dcterms:modified xsi:type="dcterms:W3CDTF">2021-03-29T20:08:02Z</dcterms:modified>
</cp:coreProperties>
</file>